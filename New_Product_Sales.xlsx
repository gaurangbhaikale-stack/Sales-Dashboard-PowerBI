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DC1C274-E8EF-46BE-8601-3E1D45B1A8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2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3" i="1"/>
  <c r="Z4" i="1"/>
  <c r="Z2" i="1"/>
  <c r="Y3" i="1" a="1"/>
  <c r="Y3" i="1" s="1"/>
  <c r="Y4" i="1" a="1"/>
  <c r="Y4" i="1"/>
  <c r="Y5" i="1" a="1"/>
  <c r="Y5" i="1" s="1"/>
  <c r="Y6" i="1" a="1"/>
  <c r="Y6" i="1" s="1"/>
  <c r="Y7" i="1" a="1"/>
  <c r="Y7" i="1"/>
  <c r="Y8" i="1" a="1"/>
  <c r="Y8" i="1"/>
  <c r="Y9" i="1" a="1"/>
  <c r="Y9" i="1"/>
  <c r="Y10" i="1" a="1"/>
  <c r="Y10" i="1"/>
  <c r="Y11" i="1" a="1"/>
  <c r="Y11" i="1" s="1"/>
  <c r="Y12" i="1" a="1"/>
  <c r="Y12" i="1" s="1"/>
  <c r="Y13" i="1" a="1"/>
  <c r="Y13" i="1" s="1"/>
  <c r="Y14" i="1" a="1"/>
  <c r="Y14" i="1" s="1"/>
  <c r="Y15" i="1" a="1"/>
  <c r="Y15" i="1"/>
  <c r="Y16" i="1" a="1"/>
  <c r="Y16" i="1"/>
  <c r="Y17" i="1" a="1"/>
  <c r="Y17" i="1"/>
  <c r="Y18" i="1" a="1"/>
  <c r="Y18" i="1" s="1"/>
  <c r="Y19" i="1" a="1"/>
  <c r="Y19" i="1" s="1"/>
  <c r="Y20" i="1" a="1"/>
  <c r="Y20" i="1"/>
  <c r="Y21" i="1" a="1"/>
  <c r="Y21" i="1" s="1"/>
  <c r="Y22" i="1" a="1"/>
  <c r="Y22" i="1" s="1"/>
  <c r="Y23" i="1" a="1"/>
  <c r="Y23" i="1" s="1"/>
  <c r="Y24" i="1" a="1"/>
  <c r="Y24" i="1" s="1"/>
  <c r="Y25" i="1" a="1"/>
  <c r="Y25" i="1" s="1"/>
  <c r="Y26" i="1" a="1"/>
  <c r="Y26" i="1"/>
  <c r="Y27" i="1" a="1"/>
  <c r="Y27" i="1" s="1"/>
  <c r="Y28" i="1" a="1"/>
  <c r="Y28" i="1"/>
  <c r="Y29" i="1" a="1"/>
  <c r="Y29" i="1" s="1"/>
  <c r="Y30" i="1" a="1"/>
  <c r="Y30" i="1"/>
  <c r="Y31" i="1" a="1"/>
  <c r="Y31" i="1" s="1"/>
  <c r="Y32" i="1" a="1"/>
  <c r="Y32" i="1" s="1"/>
  <c r="Y33" i="1" a="1"/>
  <c r="Y33" i="1" s="1"/>
  <c r="Y34" i="1" a="1"/>
  <c r="Y34" i="1"/>
  <c r="Y35" i="1" a="1"/>
  <c r="Y35" i="1" s="1"/>
  <c r="Y36" i="1" a="1"/>
  <c r="Y36" i="1" s="1"/>
  <c r="Y37" i="1" a="1"/>
  <c r="Y37" i="1" s="1"/>
  <c r="Y38" i="1" a="1"/>
  <c r="Y38" i="1"/>
  <c r="Y39" i="1" a="1"/>
  <c r="Y39" i="1"/>
  <c r="Y40" i="1" a="1"/>
  <c r="Y40" i="1" s="1"/>
  <c r="Y41" i="1" a="1"/>
  <c r="Y41" i="1" s="1"/>
  <c r="Y42" i="1" a="1"/>
  <c r="Y42" i="1" s="1"/>
  <c r="Y43" i="1" a="1"/>
  <c r="Y43" i="1" s="1"/>
  <c r="Y44" i="1" a="1"/>
  <c r="Y44" i="1" s="1"/>
  <c r="Y45" i="1" a="1"/>
  <c r="Y45" i="1" s="1"/>
  <c r="Y46" i="1" a="1"/>
  <c r="Y46" i="1"/>
  <c r="Y47" i="1" a="1"/>
  <c r="Y47" i="1"/>
  <c r="Y48" i="1" a="1"/>
  <c r="Y48" i="1"/>
  <c r="Y49" i="1" a="1"/>
  <c r="Y49" i="1" s="1"/>
  <c r="Y50" i="1" a="1"/>
  <c r="Y50" i="1" s="1"/>
  <c r="Y51" i="1" a="1"/>
  <c r="Y51" i="1" s="1"/>
  <c r="Y52" i="1" a="1"/>
  <c r="Y52" i="1"/>
  <c r="Y53" i="1" a="1"/>
  <c r="Y53" i="1" s="1"/>
  <c r="Y54" i="1" a="1"/>
  <c r="Y54" i="1"/>
  <c r="Y55" i="1" a="1"/>
  <c r="Y55" i="1"/>
  <c r="Y56" i="1" a="1"/>
  <c r="Y56" i="1"/>
  <c r="Y57" i="1" a="1"/>
  <c r="Y57" i="1"/>
  <c r="Y58" i="1" a="1"/>
  <c r="Y58" i="1" s="1"/>
  <c r="Y59" i="1" a="1"/>
  <c r="Y59" i="1" s="1"/>
  <c r="Y60" i="1" a="1"/>
  <c r="Y60" i="1"/>
  <c r="Y61" i="1" a="1"/>
  <c r="Y61" i="1" s="1"/>
  <c r="Y62" i="1" a="1"/>
  <c r="Y62" i="1"/>
  <c r="Y63" i="1" a="1"/>
  <c r="Y63" i="1"/>
  <c r="Y64" i="1" a="1"/>
  <c r="Y64" i="1"/>
  <c r="Y65" i="1" a="1"/>
  <c r="Y65" i="1"/>
  <c r="Y66" i="1" a="1"/>
  <c r="Y66" i="1" s="1"/>
  <c r="Y67" i="1" a="1"/>
  <c r="Y67" i="1" s="1"/>
  <c r="Y68" i="1" a="1"/>
  <c r="Y68" i="1"/>
  <c r="Y69" i="1" a="1"/>
  <c r="Y69" i="1" s="1"/>
  <c r="Y70" i="1" a="1"/>
  <c r="Y70" i="1" s="1"/>
  <c r="Y71" i="1" a="1"/>
  <c r="Y71" i="1"/>
  <c r="Y72" i="1" a="1"/>
  <c r="Y72" i="1"/>
  <c r="Y73" i="1" a="1"/>
  <c r="Y73" i="1"/>
  <c r="Y74" i="1" a="1"/>
  <c r="Y74" i="1"/>
  <c r="Y75" i="1" a="1"/>
  <c r="Y75" i="1" s="1"/>
  <c r="Y76" i="1" a="1"/>
  <c r="Y76" i="1" s="1"/>
  <c r="Y77" i="1" a="1"/>
  <c r="Y77" i="1" s="1"/>
  <c r="Y78" i="1" a="1"/>
  <c r="Y78" i="1" s="1"/>
  <c r="Y79" i="1" a="1"/>
  <c r="Y79" i="1" s="1"/>
  <c r="Y80" i="1" a="1"/>
  <c r="Y80" i="1" s="1"/>
  <c r="Y81" i="1" a="1"/>
  <c r="Y81" i="1"/>
  <c r="Y82" i="1" a="1"/>
  <c r="Y82" i="1"/>
  <c r="Y83" i="1" a="1"/>
  <c r="Y83" i="1" s="1"/>
  <c r="Y84" i="1" a="1"/>
  <c r="Y84" i="1"/>
  <c r="Y85" i="1" a="1"/>
  <c r="Y85" i="1" s="1"/>
  <c r="Y86" i="1" a="1"/>
  <c r="Y86" i="1" s="1"/>
  <c r="Y87" i="1" a="1"/>
  <c r="Y87" i="1" s="1"/>
  <c r="Y88" i="1" a="1"/>
  <c r="Y88" i="1" s="1"/>
  <c r="Y89" i="1" a="1"/>
  <c r="Y89" i="1"/>
  <c r="Y90" i="1" a="1"/>
  <c r="Y90" i="1"/>
  <c r="Y91" i="1" a="1"/>
  <c r="Y91" i="1" s="1"/>
  <c r="Y92" i="1" a="1"/>
  <c r="Y92" i="1" s="1"/>
  <c r="Y93" i="1" a="1"/>
  <c r="Y93" i="1" s="1"/>
  <c r="Y94" i="1" a="1"/>
  <c r="Y94" i="1" s="1"/>
  <c r="Y95" i="1" a="1"/>
  <c r="Y95" i="1" s="1"/>
  <c r="Y96" i="1" a="1"/>
  <c r="Y96" i="1" s="1"/>
  <c r="Y97" i="1" a="1"/>
  <c r="Y97" i="1" s="1"/>
  <c r="Y98" i="1" a="1"/>
  <c r="Y98" i="1"/>
  <c r="Y99" i="1" a="1"/>
  <c r="Y99" i="1" s="1"/>
  <c r="Y100" i="1" a="1"/>
  <c r="Y100" i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/>
  <c r="Y117" i="1" a="1"/>
  <c r="Y117" i="1" s="1"/>
  <c r="Y118" i="1" a="1"/>
  <c r="Y118" i="1"/>
  <c r="Y119" i="1" a="1"/>
  <c r="Y119" i="1"/>
  <c r="Y120" i="1" a="1"/>
  <c r="Y120" i="1"/>
  <c r="Y121" i="1" a="1"/>
  <c r="Y121" i="1" s="1"/>
  <c r="Y122" i="1" a="1"/>
  <c r="Y122" i="1" s="1"/>
  <c r="Y123" i="1" a="1"/>
  <c r="Y123" i="1" s="1"/>
  <c r="Y124" i="1" a="1"/>
  <c r="Y124" i="1"/>
  <c r="Y125" i="1" a="1"/>
  <c r="Y125" i="1" s="1"/>
  <c r="Y126" i="1" a="1"/>
  <c r="Y126" i="1"/>
  <c r="Y127" i="1" a="1"/>
  <c r="Y127" i="1"/>
  <c r="Y128" i="1" a="1"/>
  <c r="Y128" i="1"/>
  <c r="Y129" i="1" a="1"/>
  <c r="Y129" i="1"/>
  <c r="Y130" i="1" a="1"/>
  <c r="Y130" i="1"/>
  <c r="Y131" i="1" a="1"/>
  <c r="Y131" i="1" s="1"/>
  <c r="Y132" i="1" a="1"/>
  <c r="Y132" i="1"/>
  <c r="Y133" i="1" a="1"/>
  <c r="Y133" i="1" s="1"/>
  <c r="Y134" i="1" a="1"/>
  <c r="Y134" i="1" s="1"/>
  <c r="Y135" i="1" a="1"/>
  <c r="Y135" i="1" s="1"/>
  <c r="Y136" i="1" a="1"/>
  <c r="Y136" i="1"/>
  <c r="Y137" i="1" a="1"/>
  <c r="Y137" i="1"/>
  <c r="Y138" i="1" a="1"/>
  <c r="Y138" i="1"/>
  <c r="Y139" i="1" a="1"/>
  <c r="Y139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/>
  <c r="Y145" i="1" a="1"/>
  <c r="Y145" i="1"/>
  <c r="Y146" i="1" a="1"/>
  <c r="Y146" i="1"/>
  <c r="Y147" i="1" a="1"/>
  <c r="Y147" i="1" s="1"/>
  <c r="Y148" i="1" a="1"/>
  <c r="Y148" i="1"/>
  <c r="Y149" i="1" a="1"/>
  <c r="Y149" i="1" s="1"/>
  <c r="Y150" i="1" a="1"/>
  <c r="Y150" i="1" s="1"/>
  <c r="Y151" i="1" a="1"/>
  <c r="Y151" i="1" s="1"/>
  <c r="Y152" i="1" a="1"/>
  <c r="Y152" i="1" s="1"/>
  <c r="Y153" i="1" a="1"/>
  <c r="Y153" i="1" s="1"/>
  <c r="Y154" i="1" a="1"/>
  <c r="Y154" i="1"/>
  <c r="Y155" i="1" a="1"/>
  <c r="Y155" i="1" s="1"/>
  <c r="Y156" i="1" a="1"/>
  <c r="Y156" i="1"/>
  <c r="Y157" i="1" a="1"/>
  <c r="Y157" i="1" s="1"/>
  <c r="Y158" i="1" a="1"/>
  <c r="Y158" i="1"/>
  <c r="Y159" i="1" a="1"/>
  <c r="Y159" i="1" s="1"/>
  <c r="Y160" i="1" a="1"/>
  <c r="Y160" i="1" s="1"/>
  <c r="Y161" i="1" a="1"/>
  <c r="Y161" i="1" s="1"/>
  <c r="Y162" i="1" a="1"/>
  <c r="Y162" i="1"/>
  <c r="Y163" i="1" a="1"/>
  <c r="Y163" i="1" s="1"/>
  <c r="Y164" i="1" a="1"/>
  <c r="Y164" i="1" s="1"/>
  <c r="Y165" i="1" a="1"/>
  <c r="Y165" i="1" s="1"/>
  <c r="Y166" i="1" a="1"/>
  <c r="Y166" i="1"/>
  <c r="Y167" i="1" a="1"/>
  <c r="Y167" i="1"/>
  <c r="Y168" i="1" a="1"/>
  <c r="Y168" i="1" s="1"/>
  <c r="Y169" i="1" a="1"/>
  <c r="Y169" i="1" s="1"/>
  <c r="Y170" i="1" a="1"/>
  <c r="Y170" i="1" s="1"/>
  <c r="Y171" i="1" a="1"/>
  <c r="Y171" i="1" s="1"/>
  <c r="Y172" i="1" a="1"/>
  <c r="Y172" i="1" s="1"/>
  <c r="Y173" i="1" a="1"/>
  <c r="Y173" i="1" s="1"/>
  <c r="Y174" i="1" a="1"/>
  <c r="Y174" i="1"/>
  <c r="Y175" i="1" a="1"/>
  <c r="Y175" i="1"/>
  <c r="Y176" i="1" a="1"/>
  <c r="Y176" i="1"/>
  <c r="Y177" i="1" a="1"/>
  <c r="Y177" i="1" s="1"/>
  <c r="Y178" i="1" a="1"/>
  <c r="Y178" i="1" s="1"/>
  <c r="Y179" i="1" a="1"/>
  <c r="Y179" i="1" s="1"/>
  <c r="Y180" i="1" a="1"/>
  <c r="Y180" i="1"/>
  <c r="Y181" i="1" a="1"/>
  <c r="Y181" i="1" s="1"/>
  <c r="Y182" i="1" a="1"/>
  <c r="Y182" i="1"/>
  <c r="Y183" i="1" a="1"/>
  <c r="Y183" i="1"/>
  <c r="Y184" i="1" a="1"/>
  <c r="Y184" i="1"/>
  <c r="Y185" i="1" a="1"/>
  <c r="Y185" i="1"/>
  <c r="Y186" i="1" a="1"/>
  <c r="Y186" i="1" s="1"/>
  <c r="Y187" i="1" a="1"/>
  <c r="Y187" i="1" s="1"/>
  <c r="Y188" i="1" a="1"/>
  <c r="Y188" i="1"/>
  <c r="Y189" i="1" a="1"/>
  <c r="Y189" i="1" s="1"/>
  <c r="Y190" i="1" a="1"/>
  <c r="Y190" i="1" s="1"/>
  <c r="Y191" i="1" a="1"/>
  <c r="Y191" i="1"/>
  <c r="Y192" i="1" a="1"/>
  <c r="Y192" i="1"/>
  <c r="Y193" i="1" a="1"/>
  <c r="Y193" i="1"/>
  <c r="Y194" i="1" a="1"/>
  <c r="Y194" i="1"/>
  <c r="Y195" i="1" a="1"/>
  <c r="Y195" i="1" s="1"/>
  <c r="Y196" i="1" a="1"/>
  <c r="Y196" i="1"/>
  <c r="Y197" i="1" a="1"/>
  <c r="Y197" i="1" s="1"/>
  <c r="Y198" i="1" a="1"/>
  <c r="Y198" i="1" s="1"/>
  <c r="Y199" i="1" a="1"/>
  <c r="Y199" i="1"/>
  <c r="Y200" i="1" a="1"/>
  <c r="Y200" i="1"/>
  <c r="Y201" i="1" a="1"/>
  <c r="Y201" i="1" s="1"/>
  <c r="Y202" i="1" a="1"/>
  <c r="Y202" i="1"/>
  <c r="Y203" i="1" a="1"/>
  <c r="Y203" i="1" s="1"/>
  <c r="Y204" i="1" a="1"/>
  <c r="Y204" i="1" s="1"/>
  <c r="Y205" i="1" a="1"/>
  <c r="Y205" i="1" s="1"/>
  <c r="Y206" i="1" a="1"/>
  <c r="Y206" i="1" s="1"/>
  <c r="Y207" i="1" a="1"/>
  <c r="Y207" i="1" s="1"/>
  <c r="Y208" i="1" a="1"/>
  <c r="Y208" i="1" s="1"/>
  <c r="Y209" i="1" a="1"/>
  <c r="Y209" i="1"/>
  <c r="Y210" i="1" a="1"/>
  <c r="Y210" i="1" s="1"/>
  <c r="Y211" i="1" a="1"/>
  <c r="Y211" i="1" s="1"/>
  <c r="Y212" i="1" a="1"/>
  <c r="Y21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/>
  <c r="Y218" i="1" a="1"/>
  <c r="Y218" i="1"/>
  <c r="Y219" i="1" a="1"/>
  <c r="Y219" i="1" s="1"/>
  <c r="Y220" i="1" a="1"/>
  <c r="Y220" i="1" s="1"/>
  <c r="Y221" i="1" a="1"/>
  <c r="Y221" i="1" s="1"/>
  <c r="Y222" i="1" a="1"/>
  <c r="Y222" i="1"/>
  <c r="Y223" i="1" a="1"/>
  <c r="Y223" i="1" s="1"/>
  <c r="Y224" i="1" a="1"/>
  <c r="Y224" i="1" s="1"/>
  <c r="Y225" i="1" a="1"/>
  <c r="Y225" i="1" s="1"/>
  <c r="Y226" i="1" a="1"/>
  <c r="Y226" i="1"/>
  <c r="Y227" i="1" a="1"/>
  <c r="Y227" i="1" s="1"/>
  <c r="Y228" i="1" a="1"/>
  <c r="Y228" i="1"/>
  <c r="Y229" i="1" a="1"/>
  <c r="Y229" i="1" s="1"/>
  <c r="Y230" i="1" a="1"/>
  <c r="Y230" i="1" s="1"/>
  <c r="Y231" i="1" a="1"/>
  <c r="Y231" i="1" s="1"/>
  <c r="Y232" i="1" a="1"/>
  <c r="Y232" i="1" s="1"/>
  <c r="Y233" i="1" a="1"/>
  <c r="Y233" i="1" s="1"/>
  <c r="Y234" i="1" a="1"/>
  <c r="Y234" i="1" s="1"/>
  <c r="Y235" i="1" a="1"/>
  <c r="Y235" i="1" s="1"/>
  <c r="Y236" i="1" a="1"/>
  <c r="Y236" i="1"/>
  <c r="Y237" i="1" a="1"/>
  <c r="Y237" i="1" s="1"/>
  <c r="Y238" i="1" a="1"/>
  <c r="Y238" i="1"/>
  <c r="Y239" i="1" a="1"/>
  <c r="Y239" i="1"/>
  <c r="Y240" i="1" a="1"/>
  <c r="Y240" i="1"/>
  <c r="Y241" i="1" a="1"/>
  <c r="Y241" i="1" s="1"/>
  <c r="Y242" i="1" a="1"/>
  <c r="Y242" i="1" s="1"/>
  <c r="Y243" i="1" a="1"/>
  <c r="Y243" i="1" s="1"/>
  <c r="Y244" i="1" a="1"/>
  <c r="Y244" i="1"/>
  <c r="Y245" i="1" a="1"/>
  <c r="Y245" i="1" s="1"/>
  <c r="Y246" i="1" a="1"/>
  <c r="Y246" i="1" s="1"/>
  <c r="Y247" i="1" a="1"/>
  <c r="Y247" i="1"/>
  <c r="Y248" i="1" a="1"/>
  <c r="Y248" i="1"/>
  <c r="Y249" i="1" a="1"/>
  <c r="Y249" i="1"/>
  <c r="Y250" i="1" a="1"/>
  <c r="Y250" i="1" s="1"/>
  <c r="Y251" i="1" a="1"/>
  <c r="Y251" i="1" s="1"/>
  <c r="Y252" i="1" a="1"/>
  <c r="Y252" i="1"/>
  <c r="Y253" i="1" a="1"/>
  <c r="Y253" i="1" s="1"/>
  <c r="Y254" i="1" a="1"/>
  <c r="Y254" i="1" s="1"/>
  <c r="Y255" i="1" a="1"/>
  <c r="Y255" i="1"/>
  <c r="Y256" i="1" a="1"/>
  <c r="Y256" i="1"/>
  <c r="Y257" i="1" a="1"/>
  <c r="Y257" i="1"/>
  <c r="Y258" i="1" a="1"/>
  <c r="Y258" i="1"/>
  <c r="Y259" i="1" a="1"/>
  <c r="Y259" i="1" s="1"/>
  <c r="Y260" i="1" a="1"/>
  <c r="Y260" i="1"/>
  <c r="Y261" i="1" a="1"/>
  <c r="Y261" i="1" s="1"/>
  <c r="Y262" i="1" a="1"/>
  <c r="Y262" i="1" s="1"/>
  <c r="Y263" i="1" a="1"/>
  <c r="Y263" i="1"/>
  <c r="Y264" i="1" a="1"/>
  <c r="Y264" i="1"/>
  <c r="Y265" i="1" a="1"/>
  <c r="Y265" i="1" s="1"/>
  <c r="Y266" i="1" a="1"/>
  <c r="Y266" i="1"/>
  <c r="Y267" i="1" a="1"/>
  <c r="Y267" i="1" s="1"/>
  <c r="Y268" i="1" a="1"/>
  <c r="Y268" i="1" s="1"/>
  <c r="Y269" i="1" a="1"/>
  <c r="Y269" i="1" s="1"/>
  <c r="Y270" i="1" a="1"/>
  <c r="Y270" i="1" s="1"/>
  <c r="Y271" i="1" a="1"/>
  <c r="Y271" i="1" s="1"/>
  <c r="Y272" i="1" a="1"/>
  <c r="Y272" i="1" s="1"/>
  <c r="Y273" i="1" a="1"/>
  <c r="Y273" i="1" s="1"/>
  <c r="Y274" i="1" a="1"/>
  <c r="Y274" i="1" s="1"/>
  <c r="Y275" i="1" a="1"/>
  <c r="Y275" i="1" s="1"/>
  <c r="Y276" i="1" a="1"/>
  <c r="Y276" i="1" s="1"/>
  <c r="Y277" i="1" a="1"/>
  <c r="Y277" i="1" s="1"/>
  <c r="Y278" i="1" a="1"/>
  <c r="Y278" i="1" s="1"/>
  <c r="Y279" i="1" a="1"/>
  <c r="Y279" i="1" s="1"/>
  <c r="Y280" i="1" a="1"/>
  <c r="Y280" i="1" s="1"/>
  <c r="Y281" i="1" a="1"/>
  <c r="Y281" i="1"/>
  <c r="Y282" i="1" a="1"/>
  <c r="Y282" i="1"/>
  <c r="Y283" i="1" a="1"/>
  <c r="Y283" i="1" s="1"/>
  <c r="Y284" i="1" a="1"/>
  <c r="Y284" i="1" s="1"/>
  <c r="Y285" i="1" a="1"/>
  <c r="Y285" i="1" s="1"/>
  <c r="Y286" i="1" a="1"/>
  <c r="Y286" i="1"/>
  <c r="Y287" i="1" a="1"/>
  <c r="Y287" i="1" s="1"/>
  <c r="Y288" i="1" a="1"/>
  <c r="Y288" i="1" s="1"/>
  <c r="Y289" i="1" a="1"/>
  <c r="Y289" i="1" s="1"/>
  <c r="Y290" i="1" a="1"/>
  <c r="Y290" i="1"/>
  <c r="Y291" i="1" a="1"/>
  <c r="Y291" i="1" s="1"/>
  <c r="Y292" i="1" a="1"/>
  <c r="Y292" i="1"/>
  <c r="Y293" i="1" a="1"/>
  <c r="Y293" i="1" s="1"/>
  <c r="Y294" i="1" a="1"/>
  <c r="Y294" i="1" s="1"/>
  <c r="Y295" i="1" a="1"/>
  <c r="Y295" i="1" s="1"/>
  <c r="Y296" i="1" a="1"/>
  <c r="Y296" i="1" s="1"/>
  <c r="Y297" i="1" a="1"/>
  <c r="Y297" i="1" s="1"/>
  <c r="Y298" i="1" a="1"/>
  <c r="Y298" i="1" s="1"/>
  <c r="Y299" i="1" a="1"/>
  <c r="Y299" i="1" s="1"/>
  <c r="Y300" i="1" a="1"/>
  <c r="Y300" i="1"/>
  <c r="Y301" i="1" a="1"/>
  <c r="Y301" i="1" s="1"/>
  <c r="Y302" i="1" a="1"/>
  <c r="Y302" i="1"/>
  <c r="Y303" i="1" a="1"/>
  <c r="Y303" i="1"/>
  <c r="Y304" i="1" a="1"/>
  <c r="Y304" i="1"/>
  <c r="Y305" i="1" a="1"/>
  <c r="Y305" i="1" s="1"/>
  <c r="Y306" i="1" a="1"/>
  <c r="Y306" i="1" s="1"/>
  <c r="Y307" i="1" a="1"/>
  <c r="Y307" i="1" s="1"/>
  <c r="Y308" i="1" a="1"/>
  <c r="Y308" i="1"/>
  <c r="Y309" i="1" a="1"/>
  <c r="Y309" i="1" s="1"/>
  <c r="Y310" i="1" a="1"/>
  <c r="Y310" i="1" s="1"/>
  <c r="Y311" i="1" a="1"/>
  <c r="Y311" i="1"/>
  <c r="Y312" i="1" a="1"/>
  <c r="Y312" i="1"/>
  <c r="Y313" i="1" a="1"/>
  <c r="Y313" i="1"/>
  <c r="Y314" i="1" a="1"/>
  <c r="Y314" i="1" s="1"/>
  <c r="Y315" i="1" a="1"/>
  <c r="Y315" i="1" s="1"/>
  <c r="Y316" i="1" a="1"/>
  <c r="Y316" i="1"/>
  <c r="Y317" i="1" a="1"/>
  <c r="Y317" i="1" s="1"/>
  <c r="Y318" i="1" a="1"/>
  <c r="Y318" i="1" s="1"/>
  <c r="Y319" i="1" a="1"/>
  <c r="Y319" i="1"/>
  <c r="Y320" i="1" a="1"/>
  <c r="Y320" i="1"/>
  <c r="Y321" i="1" a="1"/>
  <c r="Y321" i="1"/>
  <c r="Y322" i="1" a="1"/>
  <c r="Y322" i="1"/>
  <c r="Y323" i="1" a="1"/>
  <c r="Y323" i="1" s="1"/>
  <c r="Y324" i="1" a="1"/>
  <c r="Y324" i="1"/>
  <c r="Y325" i="1" a="1"/>
  <c r="Y325" i="1" s="1"/>
  <c r="Y326" i="1" a="1"/>
  <c r="Y326" i="1" s="1"/>
  <c r="Y327" i="1" a="1"/>
  <c r="Y327" i="1"/>
  <c r="Y328" i="1" a="1"/>
  <c r="Y328" i="1"/>
  <c r="Y329" i="1" a="1"/>
  <c r="Y329" i="1" s="1"/>
  <c r="Y330" i="1" a="1"/>
  <c r="Y330" i="1"/>
  <c r="Y331" i="1" a="1"/>
  <c r="Y331" i="1" s="1"/>
  <c r="Y332" i="1" a="1"/>
  <c r="Y332" i="1" s="1"/>
  <c r="Y333" i="1" a="1"/>
  <c r="Y333" i="1" s="1"/>
  <c r="Y334" i="1" a="1"/>
  <c r="Y334" i="1" s="1"/>
  <c r="Y335" i="1" a="1"/>
  <c r="Y335" i="1" s="1"/>
  <c r="Y336" i="1" a="1"/>
  <c r="Y336" i="1" s="1"/>
  <c r="Y337" i="1" a="1"/>
  <c r="Y337" i="1" s="1"/>
  <c r="Y338" i="1" a="1"/>
  <c r="Y338" i="1" s="1"/>
  <c r="Y339" i="1" a="1"/>
  <c r="Y339" i="1" s="1"/>
  <c r="Y340" i="1" a="1"/>
  <c r="Y340" i="1" s="1"/>
  <c r="Y341" i="1" a="1"/>
  <c r="Y341" i="1" s="1"/>
  <c r="Y342" i="1" a="1"/>
  <c r="Y342" i="1" s="1"/>
  <c r="Y343" i="1" a="1"/>
  <c r="Y343" i="1" s="1"/>
  <c r="Y344" i="1" a="1"/>
  <c r="Y344" i="1" s="1"/>
  <c r="Y345" i="1" a="1"/>
  <c r="Y345" i="1"/>
  <c r="Y346" i="1" a="1"/>
  <c r="Y346" i="1"/>
  <c r="Y347" i="1" a="1"/>
  <c r="Y347" i="1" s="1"/>
  <c r="Y348" i="1" a="1"/>
  <c r="Y348" i="1" s="1"/>
  <c r="Y349" i="1" a="1"/>
  <c r="Y349" i="1" s="1"/>
  <c r="Y350" i="1" a="1"/>
  <c r="Y350" i="1"/>
  <c r="Y351" i="1" a="1"/>
  <c r="Y351" i="1" s="1"/>
  <c r="Y352" i="1" a="1"/>
  <c r="Y352" i="1" s="1"/>
  <c r="Y353" i="1" a="1"/>
  <c r="Y353" i="1" s="1"/>
  <c r="Y354" i="1" a="1"/>
  <c r="Y354" i="1"/>
  <c r="Y355" i="1" a="1"/>
  <c r="Y355" i="1" s="1"/>
  <c r="Y356" i="1" a="1"/>
  <c r="Y356" i="1"/>
  <c r="Y357" i="1" a="1"/>
  <c r="Y357" i="1" s="1"/>
  <c r="Y358" i="1" a="1"/>
  <c r="Y358" i="1" s="1"/>
  <c r="Y359" i="1" a="1"/>
  <c r="Y359" i="1" s="1"/>
  <c r="Y360" i="1" a="1"/>
  <c r="Y360" i="1" s="1"/>
  <c r="Y361" i="1" a="1"/>
  <c r="Y361" i="1" s="1"/>
  <c r="Y362" i="1" a="1"/>
  <c r="Y362" i="1" s="1"/>
  <c r="Y363" i="1" a="1"/>
  <c r="Y363" i="1" s="1"/>
  <c r="Y364" i="1" a="1"/>
  <c r="Y364" i="1"/>
  <c r="Y365" i="1" a="1"/>
  <c r="Y365" i="1" s="1"/>
  <c r="Y366" i="1" a="1"/>
  <c r="Y366" i="1"/>
  <c r="Y367" i="1" a="1"/>
  <c r="Y367" i="1"/>
  <c r="Y368" i="1" a="1"/>
  <c r="Y368" i="1"/>
  <c r="Y369" i="1" a="1"/>
  <c r="Y369" i="1" s="1"/>
  <c r="Y370" i="1" a="1"/>
  <c r="Y370" i="1" s="1"/>
  <c r="Y371" i="1" a="1"/>
  <c r="Y371" i="1" s="1"/>
  <c r="Y372" i="1" a="1"/>
  <c r="Y372" i="1"/>
  <c r="Y373" i="1" a="1"/>
  <c r="Y373" i="1" s="1"/>
  <c r="Y374" i="1" a="1"/>
  <c r="Y374" i="1" s="1"/>
  <c r="Y375" i="1" a="1"/>
  <c r="Y375" i="1"/>
  <c r="Y376" i="1" a="1"/>
  <c r="Y376" i="1"/>
  <c r="Y377" i="1" a="1"/>
  <c r="Y377" i="1"/>
  <c r="Y378" i="1" a="1"/>
  <c r="Y378" i="1" s="1"/>
  <c r="Y379" i="1" a="1"/>
  <c r="Y379" i="1" s="1"/>
  <c r="Y380" i="1" a="1"/>
  <c r="Y380" i="1"/>
  <c r="Y381" i="1" a="1"/>
  <c r="Y381" i="1" s="1"/>
  <c r="Y382" i="1" a="1"/>
  <c r="Y382" i="1" s="1"/>
  <c r="Y383" i="1" a="1"/>
  <c r="Y383" i="1"/>
  <c r="Y384" i="1" a="1"/>
  <c r="Y384" i="1"/>
  <c r="Y385" i="1" a="1"/>
  <c r="Y385" i="1"/>
  <c r="Y386" i="1" a="1"/>
  <c r="Y386" i="1"/>
  <c r="Y387" i="1" a="1"/>
  <c r="Y387" i="1" s="1"/>
  <c r="Y388" i="1" a="1"/>
  <c r="Y388" i="1"/>
  <c r="Y389" i="1" a="1"/>
  <c r="Y389" i="1" s="1"/>
  <c r="Y390" i="1" a="1"/>
  <c r="Y390" i="1" s="1"/>
  <c r="Y391" i="1" a="1"/>
  <c r="Y391" i="1"/>
  <c r="Y392" i="1" a="1"/>
  <c r="Y392" i="1"/>
  <c r="Y393" i="1" a="1"/>
  <c r="Y393" i="1" s="1"/>
  <c r="Y394" i="1" a="1"/>
  <c r="Y394" i="1"/>
  <c r="Y395" i="1" a="1"/>
  <c r="Y395" i="1" s="1"/>
  <c r="Y396" i="1" a="1"/>
  <c r="Y396" i="1" s="1"/>
  <c r="Y397" i="1" a="1"/>
  <c r="Y397" i="1" s="1"/>
  <c r="Y398" i="1" a="1"/>
  <c r="Y398" i="1" s="1"/>
  <c r="Y399" i="1" a="1"/>
  <c r="Y399" i="1" s="1"/>
  <c r="Y400" i="1" a="1"/>
  <c r="Y400" i="1" s="1"/>
  <c r="Y401" i="1" a="1"/>
  <c r="Y401" i="1" s="1"/>
  <c r="Y402" i="1" a="1"/>
  <c r="Y402" i="1" s="1"/>
  <c r="Y403" i="1" a="1"/>
  <c r="Y403" i="1" s="1"/>
  <c r="Y404" i="1" a="1"/>
  <c r="Y404" i="1" s="1"/>
  <c r="Y405" i="1" a="1"/>
  <c r="Y405" i="1" s="1"/>
  <c r="Y406" i="1" a="1"/>
  <c r="Y406" i="1" s="1"/>
  <c r="Y407" i="1" a="1"/>
  <c r="Y407" i="1" s="1"/>
  <c r="Y408" i="1" a="1"/>
  <c r="Y408" i="1" s="1"/>
  <c r="Y409" i="1" a="1"/>
  <c r="Y409" i="1"/>
  <c r="Y410" i="1" a="1"/>
  <c r="Y410" i="1"/>
  <c r="Y411" i="1" a="1"/>
  <c r="Y411" i="1" s="1"/>
  <c r="Y412" i="1" a="1"/>
  <c r="Y412" i="1" s="1"/>
  <c r="Y413" i="1" a="1"/>
  <c r="Y413" i="1" s="1"/>
  <c r="Y414" i="1" a="1"/>
  <c r="Y414" i="1"/>
  <c r="Y415" i="1" a="1"/>
  <c r="Y415" i="1" s="1"/>
  <c r="Y416" i="1" a="1"/>
  <c r="Y416" i="1" s="1"/>
  <c r="Y417" i="1" a="1"/>
  <c r="Y417" i="1" s="1"/>
  <c r="Y418" i="1" a="1"/>
  <c r="Y418" i="1"/>
  <c r="Y419" i="1" a="1"/>
  <c r="Y419" i="1" s="1"/>
  <c r="Y420" i="1" a="1"/>
  <c r="Y420" i="1"/>
  <c r="Y421" i="1" a="1"/>
  <c r="Y421" i="1" s="1"/>
  <c r="Y422" i="1" a="1"/>
  <c r="Y422" i="1" s="1"/>
  <c r="Y423" i="1" a="1"/>
  <c r="Y423" i="1" s="1"/>
  <c r="Y424" i="1" a="1"/>
  <c r="Y424" i="1" s="1"/>
  <c r="Y425" i="1" a="1"/>
  <c r="Y425" i="1" s="1"/>
  <c r="Y426" i="1" a="1"/>
  <c r="Y426" i="1" s="1"/>
  <c r="Y427" i="1" a="1"/>
  <c r="Y427" i="1" s="1"/>
  <c r="Y428" i="1" a="1"/>
  <c r="Y428" i="1"/>
  <c r="Y429" i="1" a="1"/>
  <c r="Y429" i="1" s="1"/>
  <c r="Y430" i="1" a="1"/>
  <c r="Y430" i="1"/>
  <c r="Y431" i="1" a="1"/>
  <c r="Y431" i="1"/>
  <c r="Y432" i="1" a="1"/>
  <c r="Y432" i="1"/>
  <c r="Y433" i="1" a="1"/>
  <c r="Y433" i="1" s="1"/>
  <c r="Y434" i="1" a="1"/>
  <c r="Y434" i="1" s="1"/>
  <c r="Y435" i="1" a="1"/>
  <c r="Y435" i="1" s="1"/>
  <c r="Y436" i="1" a="1"/>
  <c r="Y436" i="1"/>
  <c r="Y437" i="1" a="1"/>
  <c r="Y437" i="1" s="1"/>
  <c r="Y438" i="1" a="1"/>
  <c r="Y438" i="1" s="1"/>
  <c r="Y439" i="1" a="1"/>
  <c r="Y439" i="1"/>
  <c r="Y440" i="1" a="1"/>
  <c r="Y440" i="1"/>
  <c r="Y441" i="1" a="1"/>
  <c r="Y441" i="1"/>
  <c r="Y442" i="1" a="1"/>
  <c r="Y442" i="1" s="1"/>
  <c r="Y443" i="1" a="1"/>
  <c r="Y443" i="1" s="1"/>
  <c r="Y444" i="1" a="1"/>
  <c r="Y444" i="1"/>
  <c r="Y445" i="1" a="1"/>
  <c r="Y445" i="1" s="1"/>
  <c r="Y446" i="1" a="1"/>
  <c r="Y446" i="1" s="1"/>
  <c r="Y447" i="1" a="1"/>
  <c r="Y447" i="1"/>
  <c r="Y448" i="1" a="1"/>
  <c r="Y448" i="1"/>
  <c r="Y449" i="1" a="1"/>
  <c r="Y449" i="1"/>
  <c r="Y450" i="1" a="1"/>
  <c r="Y450" i="1"/>
  <c r="Y451" i="1" a="1"/>
  <c r="Y451" i="1" s="1"/>
  <c r="Y452" i="1" a="1"/>
  <c r="Y452" i="1"/>
  <c r="Y453" i="1" a="1"/>
  <c r="Y453" i="1" s="1"/>
  <c r="Y454" i="1" a="1"/>
  <c r="Y454" i="1" s="1"/>
  <c r="Y455" i="1" a="1"/>
  <c r="Y455" i="1"/>
  <c r="Y456" i="1" a="1"/>
  <c r="Y456" i="1"/>
  <c r="Y457" i="1" a="1"/>
  <c r="Y457" i="1" s="1"/>
  <c r="Y458" i="1" a="1"/>
  <c r="Y458" i="1"/>
  <c r="Y459" i="1" a="1"/>
  <c r="Y459" i="1" s="1"/>
  <c r="Y460" i="1" a="1"/>
  <c r="Y460" i="1" s="1"/>
  <c r="Y461" i="1" a="1"/>
  <c r="Y461" i="1" s="1"/>
  <c r="Y462" i="1" a="1"/>
  <c r="Y462" i="1" s="1"/>
  <c r="Y463" i="1" a="1"/>
  <c r="Y463" i="1" s="1"/>
  <c r="Y464" i="1" a="1"/>
  <c r="Y464" i="1" s="1"/>
  <c r="Y465" i="1" a="1"/>
  <c r="Y465" i="1" s="1"/>
  <c r="Y466" i="1" a="1"/>
  <c r="Y466" i="1" s="1"/>
  <c r="Y467" i="1" a="1"/>
  <c r="Y467" i="1" s="1"/>
  <c r="Y468" i="1" a="1"/>
  <c r="Y468" i="1" s="1"/>
  <c r="Y469" i="1" a="1"/>
  <c r="Y469" i="1" s="1"/>
  <c r="Y470" i="1" a="1"/>
  <c r="Y470" i="1" s="1"/>
  <c r="Y471" i="1" a="1"/>
  <c r="Y471" i="1" s="1"/>
  <c r="Y472" i="1" a="1"/>
  <c r="Y472" i="1" s="1"/>
  <c r="Y473" i="1" a="1"/>
  <c r="Y473" i="1"/>
  <c r="Y474" i="1" a="1"/>
  <c r="Y474" i="1"/>
  <c r="Y475" i="1" a="1"/>
  <c r="Y475" i="1" s="1"/>
  <c r="Y476" i="1" a="1"/>
  <c r="Y476" i="1" s="1"/>
  <c r="Y477" i="1" a="1"/>
  <c r="Y477" i="1" s="1"/>
  <c r="Y478" i="1" a="1"/>
  <c r="Y478" i="1"/>
  <c r="Y479" i="1" a="1"/>
  <c r="Y479" i="1" s="1"/>
  <c r="Y480" i="1" a="1"/>
  <c r="Y480" i="1" s="1"/>
  <c r="Y481" i="1" a="1"/>
  <c r="Y481" i="1" s="1"/>
  <c r="Y482" i="1" a="1"/>
  <c r="Y482" i="1"/>
  <c r="Y483" i="1" a="1"/>
  <c r="Y483" i="1" s="1"/>
  <c r="Y484" i="1" a="1"/>
  <c r="Y484" i="1"/>
  <c r="Y485" i="1" a="1"/>
  <c r="Y485" i="1" s="1"/>
  <c r="Y486" i="1" a="1"/>
  <c r="Y486" i="1" s="1"/>
  <c r="Y487" i="1" a="1"/>
  <c r="Y487" i="1" s="1"/>
  <c r="Y488" i="1" a="1"/>
  <c r="Y488" i="1" s="1"/>
  <c r="Y489" i="1" a="1"/>
  <c r="Y489" i="1" s="1"/>
  <c r="Y490" i="1" a="1"/>
  <c r="Y490" i="1" s="1"/>
  <c r="Y491" i="1" a="1"/>
  <c r="Y491" i="1" s="1"/>
  <c r="Y492" i="1" a="1"/>
  <c r="Y492" i="1"/>
  <c r="Y493" i="1" a="1"/>
  <c r="Y493" i="1" s="1"/>
  <c r="Y494" i="1" a="1"/>
  <c r="Y494" i="1"/>
  <c r="Y495" i="1" a="1"/>
  <c r="Y495" i="1"/>
  <c r="Y496" i="1" a="1"/>
  <c r="Y496" i="1"/>
  <c r="Y497" i="1" a="1"/>
  <c r="Y497" i="1" s="1"/>
  <c r="Y498" i="1" a="1"/>
  <c r="Y498" i="1" s="1"/>
  <c r="Y499" i="1" a="1"/>
  <c r="Y499" i="1" s="1"/>
  <c r="Y500" i="1" a="1"/>
  <c r="Y500" i="1"/>
  <c r="Y501" i="1" a="1"/>
  <c r="Y501" i="1" s="1"/>
  <c r="Y502" i="1" a="1"/>
  <c r="Y502" i="1" s="1"/>
  <c r="Y503" i="1" a="1"/>
  <c r="Y503" i="1"/>
  <c r="Y504" i="1" a="1"/>
  <c r="Y504" i="1"/>
  <c r="Y505" i="1" a="1"/>
  <c r="Y505" i="1"/>
  <c r="Y506" i="1" a="1"/>
  <c r="Y506" i="1" s="1"/>
  <c r="Y507" i="1" a="1"/>
  <c r="Y507" i="1" s="1"/>
  <c r="Y508" i="1" a="1"/>
  <c r="Y508" i="1"/>
  <c r="Y509" i="1" a="1"/>
  <c r="Y509" i="1" s="1"/>
  <c r="Y510" i="1" a="1"/>
  <c r="Y510" i="1" s="1"/>
  <c r="Y511" i="1" a="1"/>
  <c r="Y511" i="1"/>
  <c r="Y512" i="1" a="1"/>
  <c r="Y512" i="1"/>
  <c r="Y513" i="1" a="1"/>
  <c r="Y513" i="1"/>
  <c r="Y514" i="1" a="1"/>
  <c r="Y514" i="1"/>
  <c r="Y515" i="1" a="1"/>
  <c r="Y515" i="1" s="1"/>
  <c r="Y516" i="1" a="1"/>
  <c r="Y516" i="1"/>
  <c r="Y517" i="1" a="1"/>
  <c r="Y517" i="1" s="1"/>
  <c r="Y518" i="1" a="1"/>
  <c r="Y518" i="1" s="1"/>
  <c r="Y519" i="1" a="1"/>
  <c r="Y519" i="1"/>
  <c r="Y520" i="1" a="1"/>
  <c r="Y520" i="1"/>
  <c r="Y521" i="1" a="1"/>
  <c r="Y521" i="1" s="1"/>
  <c r="Y522" i="1" a="1"/>
  <c r="Y522" i="1"/>
  <c r="Y523" i="1" a="1"/>
  <c r="Y523" i="1" s="1"/>
  <c r="Y524" i="1" a="1"/>
  <c r="Y524" i="1" s="1"/>
  <c r="Y525" i="1" a="1"/>
  <c r="Y525" i="1" s="1"/>
  <c r="Y526" i="1" a="1"/>
  <c r="Y526" i="1" s="1"/>
  <c r="Y527" i="1" a="1"/>
  <c r="Y527" i="1" s="1"/>
  <c r="Y528" i="1" a="1"/>
  <c r="Y528" i="1" s="1"/>
  <c r="Y529" i="1" a="1"/>
  <c r="Y529" i="1" s="1"/>
  <c r="Y530" i="1" a="1"/>
  <c r="Y530" i="1" s="1"/>
  <c r="Y531" i="1" a="1"/>
  <c r="Y531" i="1" s="1"/>
  <c r="Y532" i="1" a="1"/>
  <c r="Y532" i="1" s="1"/>
  <c r="Y533" i="1" a="1"/>
  <c r="Y533" i="1" s="1"/>
  <c r="Y534" i="1" a="1"/>
  <c r="Y534" i="1" s="1"/>
  <c r="Y535" i="1" a="1"/>
  <c r="Y535" i="1" s="1"/>
  <c r="Y536" i="1" a="1"/>
  <c r="Y536" i="1" s="1"/>
  <c r="Y537" i="1" a="1"/>
  <c r="Y537" i="1"/>
  <c r="Y538" i="1" a="1"/>
  <c r="Y538" i="1"/>
  <c r="Y539" i="1" a="1"/>
  <c r="Y539" i="1" s="1"/>
  <c r="Y540" i="1" a="1"/>
  <c r="Y540" i="1" s="1"/>
  <c r="Y541" i="1" a="1"/>
  <c r="Y541" i="1" s="1"/>
  <c r="Y542" i="1" a="1"/>
  <c r="Y542" i="1"/>
  <c r="Y543" i="1" a="1"/>
  <c r="Y543" i="1" s="1"/>
  <c r="Y544" i="1" a="1"/>
  <c r="Y544" i="1" s="1"/>
  <c r="Y545" i="1" a="1"/>
  <c r="Y545" i="1" s="1"/>
  <c r="Y546" i="1" a="1"/>
  <c r="Y546" i="1"/>
  <c r="Y547" i="1" a="1"/>
  <c r="Y547" i="1" s="1"/>
  <c r="Y548" i="1" a="1"/>
  <c r="Y548" i="1"/>
  <c r="Y549" i="1" a="1"/>
  <c r="Y549" i="1" s="1"/>
  <c r="Y550" i="1" a="1"/>
  <c r="Y550" i="1" s="1"/>
  <c r="Y551" i="1" a="1"/>
  <c r="Y551" i="1" s="1"/>
  <c r="Y552" i="1" a="1"/>
  <c r="Y552" i="1" s="1"/>
  <c r="Y553" i="1" a="1"/>
  <c r="Y553" i="1" s="1"/>
  <c r="Y554" i="1" a="1"/>
  <c r="Y554" i="1" s="1"/>
  <c r="Y555" i="1" a="1"/>
  <c r="Y555" i="1" s="1"/>
  <c r="Y556" i="1" a="1"/>
  <c r="Y556" i="1"/>
  <c r="Y557" i="1" a="1"/>
  <c r="Y557" i="1" s="1"/>
  <c r="Y558" i="1" a="1"/>
  <c r="Y558" i="1"/>
  <c r="Y559" i="1" a="1"/>
  <c r="Y559" i="1"/>
  <c r="Y560" i="1" a="1"/>
  <c r="Y560" i="1"/>
  <c r="Y561" i="1" a="1"/>
  <c r="Y561" i="1" s="1"/>
  <c r="Y562" i="1" a="1"/>
  <c r="Y562" i="1" s="1"/>
  <c r="Y563" i="1" a="1"/>
  <c r="Y563" i="1" s="1"/>
  <c r="Y564" i="1" a="1"/>
  <c r="Y564" i="1"/>
  <c r="Y565" i="1" a="1"/>
  <c r="Y565" i="1" s="1"/>
  <c r="Y566" i="1" a="1"/>
  <c r="Y566" i="1" s="1"/>
  <c r="Y567" i="1" a="1"/>
  <c r="Y567" i="1"/>
  <c r="Y568" i="1" a="1"/>
  <c r="Y568" i="1"/>
  <c r="Y569" i="1" a="1"/>
  <c r="Y569" i="1"/>
  <c r="Y570" i="1" a="1"/>
  <c r="Y570" i="1" s="1"/>
  <c r="Y571" i="1" a="1"/>
  <c r="Y571" i="1" s="1"/>
  <c r="Y572" i="1" a="1"/>
  <c r="Y572" i="1"/>
  <c r="Y573" i="1" a="1"/>
  <c r="Y573" i="1" s="1"/>
  <c r="Y574" i="1" a="1"/>
  <c r="Y574" i="1" s="1"/>
  <c r="Y575" i="1" a="1"/>
  <c r="Y575" i="1"/>
  <c r="Y576" i="1" a="1"/>
  <c r="Y576" i="1"/>
  <c r="Y577" i="1" a="1"/>
  <c r="Y577" i="1"/>
  <c r="Y578" i="1" a="1"/>
  <c r="Y578" i="1"/>
  <c r="Y579" i="1" a="1"/>
  <c r="Y579" i="1" s="1"/>
  <c r="Y580" i="1" a="1"/>
  <c r="Y580" i="1"/>
  <c r="Y581" i="1" a="1"/>
  <c r="Y581" i="1" s="1"/>
  <c r="Y582" i="1" a="1"/>
  <c r="Y582" i="1" s="1"/>
  <c r="Y583" i="1" a="1"/>
  <c r="Y583" i="1"/>
  <c r="Y584" i="1" a="1"/>
  <c r="Y584" i="1"/>
  <c r="Y585" i="1" a="1"/>
  <c r="Y585" i="1" s="1"/>
  <c r="Y586" i="1" a="1"/>
  <c r="Y586" i="1"/>
  <c r="Y587" i="1" a="1"/>
  <c r="Y587" i="1" s="1"/>
  <c r="Y588" i="1" a="1"/>
  <c r="Y588" i="1" s="1"/>
  <c r="Y589" i="1" a="1"/>
  <c r="Y589" i="1" s="1"/>
  <c r="Y590" i="1" a="1"/>
  <c r="Y590" i="1" s="1"/>
  <c r="Y591" i="1" a="1"/>
  <c r="Y591" i="1" s="1"/>
  <c r="Y592" i="1" a="1"/>
  <c r="Y592" i="1" s="1"/>
  <c r="Y593" i="1" a="1"/>
  <c r="Y593" i="1" s="1"/>
  <c r="Y594" i="1" a="1"/>
  <c r="Y594" i="1" s="1"/>
  <c r="Y595" i="1" a="1"/>
  <c r="Y595" i="1" s="1"/>
  <c r="Y596" i="1" a="1"/>
  <c r="Y596" i="1" s="1"/>
  <c r="Y597" i="1" a="1"/>
  <c r="Y597" i="1" s="1"/>
  <c r="Y598" i="1" a="1"/>
  <c r="Y598" i="1" s="1"/>
  <c r="Y599" i="1" a="1"/>
  <c r="Y599" i="1" s="1"/>
  <c r="Y600" i="1" a="1"/>
  <c r="Y600" i="1" s="1"/>
  <c r="Y601" i="1" a="1"/>
  <c r="Y601" i="1"/>
  <c r="Y602" i="1" a="1"/>
  <c r="Y602" i="1"/>
  <c r="Y603" i="1" a="1"/>
  <c r="Y603" i="1" s="1"/>
  <c r="Y604" i="1" a="1"/>
  <c r="Y604" i="1" s="1"/>
  <c r="Y605" i="1" a="1"/>
  <c r="Y605" i="1" s="1"/>
  <c r="Y606" i="1" a="1"/>
  <c r="Y606" i="1"/>
  <c r="Y607" i="1" a="1"/>
  <c r="Y607" i="1" s="1"/>
  <c r="Y608" i="1" a="1"/>
  <c r="Y608" i="1" s="1"/>
  <c r="Y609" i="1" a="1"/>
  <c r="Y609" i="1" s="1"/>
  <c r="Y610" i="1" a="1"/>
  <c r="Y610" i="1"/>
  <c r="Y611" i="1" a="1"/>
  <c r="Y611" i="1" s="1"/>
  <c r="Y612" i="1" a="1"/>
  <c r="Y612" i="1"/>
  <c r="Y613" i="1" a="1"/>
  <c r="Y613" i="1" s="1"/>
  <c r="Y614" i="1" a="1"/>
  <c r="Y614" i="1" s="1"/>
  <c r="Y615" i="1" a="1"/>
  <c r="Y615" i="1" s="1"/>
  <c r="Y616" i="1" a="1"/>
  <c r="Y616" i="1" s="1"/>
  <c r="Y617" i="1" a="1"/>
  <c r="Y617" i="1" s="1"/>
  <c r="Y618" i="1" a="1"/>
  <c r="Y618" i="1" s="1"/>
  <c r="Y619" i="1" a="1"/>
  <c r="Y619" i="1" s="1"/>
  <c r="Y620" i="1" a="1"/>
  <c r="Y620" i="1"/>
  <c r="Y621" i="1" a="1"/>
  <c r="Y621" i="1" s="1"/>
  <c r="Y622" i="1" a="1"/>
  <c r="Y622" i="1"/>
  <c r="Y623" i="1" a="1"/>
  <c r="Y623" i="1"/>
  <c r="Y624" i="1" a="1"/>
  <c r="Y624" i="1"/>
  <c r="Y625" i="1" a="1"/>
  <c r="Y625" i="1" s="1"/>
  <c r="Y626" i="1" a="1"/>
  <c r="Y626" i="1" s="1"/>
  <c r="Y627" i="1" a="1"/>
  <c r="Y627" i="1" s="1"/>
  <c r="Y628" i="1" a="1"/>
  <c r="Y628" i="1"/>
  <c r="Y629" i="1" a="1"/>
  <c r="Y629" i="1" s="1"/>
  <c r="Y630" i="1" a="1"/>
  <c r="Y630" i="1" s="1"/>
  <c r="Y631" i="1" a="1"/>
  <c r="Y631" i="1"/>
  <c r="Y632" i="1" a="1"/>
  <c r="Y632" i="1"/>
  <c r="Y633" i="1" a="1"/>
  <c r="Y633" i="1"/>
  <c r="Y634" i="1" a="1"/>
  <c r="Y634" i="1" s="1"/>
  <c r="Y635" i="1" a="1"/>
  <c r="Y635" i="1" s="1"/>
  <c r="Y636" i="1" a="1"/>
  <c r="Y636" i="1"/>
  <c r="Y637" i="1" a="1"/>
  <c r="Y637" i="1" s="1"/>
  <c r="Y638" i="1" a="1"/>
  <c r="Y638" i="1" s="1"/>
  <c r="Y639" i="1" a="1"/>
  <c r="Y639" i="1"/>
  <c r="Y640" i="1" a="1"/>
  <c r="Y640" i="1"/>
  <c r="Y641" i="1" a="1"/>
  <c r="Y641" i="1"/>
  <c r="Y642" i="1" a="1"/>
  <c r="Y642" i="1"/>
  <c r="Y643" i="1" a="1"/>
  <c r="Y643" i="1" s="1"/>
  <c r="Y644" i="1" a="1"/>
  <c r="Y644" i="1"/>
  <c r="Y645" i="1" a="1"/>
  <c r="Y645" i="1" s="1"/>
  <c r="Y646" i="1" a="1"/>
  <c r="Y646" i="1" s="1"/>
  <c r="Y647" i="1" a="1"/>
  <c r="Y647" i="1"/>
  <c r="Y648" i="1" a="1"/>
  <c r="Y648" i="1"/>
  <c r="Y649" i="1" a="1"/>
  <c r="Y649" i="1" s="1"/>
  <c r="Y650" i="1" a="1"/>
  <c r="Y650" i="1"/>
  <c r="Y651" i="1" a="1"/>
  <c r="Y651" i="1" s="1"/>
  <c r="Y652" i="1" a="1"/>
  <c r="Y652" i="1" s="1"/>
  <c r="Y653" i="1" a="1"/>
  <c r="Y653" i="1" s="1"/>
  <c r="Y654" i="1" a="1"/>
  <c r="Y654" i="1" s="1"/>
  <c r="Y655" i="1" a="1"/>
  <c r="Y655" i="1" s="1"/>
  <c r="Y656" i="1" a="1"/>
  <c r="Y656" i="1" s="1"/>
  <c r="Y657" i="1" a="1"/>
  <c r="Y657" i="1" s="1"/>
  <c r="Y658" i="1" a="1"/>
  <c r="Y658" i="1" s="1"/>
  <c r="Y659" i="1" a="1"/>
  <c r="Y659" i="1" s="1"/>
  <c r="Y660" i="1" a="1"/>
  <c r="Y660" i="1" s="1"/>
  <c r="Y661" i="1" a="1"/>
  <c r="Y661" i="1" s="1"/>
  <c r="Y662" i="1" a="1"/>
  <c r="Y662" i="1" s="1"/>
  <c r="Y663" i="1" a="1"/>
  <c r="Y663" i="1" s="1"/>
  <c r="Y664" i="1" a="1"/>
  <c r="Y664" i="1" s="1"/>
  <c r="Y665" i="1" a="1"/>
  <c r="Y665" i="1"/>
  <c r="Y666" i="1" a="1"/>
  <c r="Y666" i="1"/>
  <c r="Y667" i="1" a="1"/>
  <c r="Y667" i="1" s="1"/>
  <c r="Y668" i="1" a="1"/>
  <c r="Y668" i="1" s="1"/>
  <c r="Y669" i="1" a="1"/>
  <c r="Y669" i="1" s="1"/>
  <c r="Y670" i="1" a="1"/>
  <c r="Y670" i="1"/>
  <c r="Y671" i="1" a="1"/>
  <c r="Y671" i="1" s="1"/>
  <c r="Y672" i="1" a="1"/>
  <c r="Y672" i="1" s="1"/>
  <c r="Y673" i="1" a="1"/>
  <c r="Y673" i="1" s="1"/>
  <c r="Y674" i="1" a="1"/>
  <c r="Y674" i="1"/>
  <c r="Y675" i="1" a="1"/>
  <c r="Y675" i="1"/>
  <c r="Y676" i="1" a="1"/>
  <c r="Y676" i="1" s="1"/>
  <c r="Y677" i="1" a="1"/>
  <c r="Y677" i="1" s="1"/>
  <c r="Y678" i="1" a="1"/>
  <c r="Y678" i="1"/>
  <c r="Y679" i="1" a="1"/>
  <c r="Y679" i="1" s="1"/>
  <c r="Y680" i="1" a="1"/>
  <c r="Y680" i="1"/>
  <c r="Y681" i="1" a="1"/>
  <c r="Y681" i="1"/>
  <c r="Y682" i="1" a="1"/>
  <c r="Y682" i="1"/>
  <c r="Y683" i="1" a="1"/>
  <c r="Y683" i="1"/>
  <c r="Y684" i="1" a="1"/>
  <c r="Y684" i="1"/>
  <c r="Y685" i="1" a="1"/>
  <c r="Y685" i="1" s="1"/>
  <c r="Y686" i="1" a="1"/>
  <c r="Y686" i="1" s="1"/>
  <c r="Y687" i="1" a="1"/>
  <c r="Y687" i="1" s="1"/>
  <c r="Y688" i="1" a="1"/>
  <c r="Y688" i="1"/>
  <c r="Y689" i="1" a="1"/>
  <c r="Y689" i="1"/>
  <c r="Y690" i="1" a="1"/>
  <c r="Y690" i="1"/>
  <c r="Y691" i="1" a="1"/>
  <c r="Y691" i="1"/>
  <c r="Y692" i="1" a="1"/>
  <c r="Y692" i="1"/>
  <c r="Y693" i="1" a="1"/>
  <c r="Y693" i="1"/>
  <c r="Y694" i="1" a="1"/>
  <c r="Y694" i="1"/>
  <c r="Y695" i="1" a="1"/>
  <c r="Y695" i="1" s="1"/>
  <c r="Y696" i="1" a="1"/>
  <c r="Y696" i="1"/>
  <c r="Y697" i="1" a="1"/>
  <c r="Y697" i="1"/>
  <c r="Y698" i="1" a="1"/>
  <c r="Y698" i="1"/>
  <c r="Y699" i="1" a="1"/>
  <c r="Y699" i="1"/>
  <c r="Y700" i="1" a="1"/>
  <c r="Y700" i="1"/>
  <c r="Y701" i="1" a="1"/>
  <c r="Y701" i="1"/>
  <c r="Y702" i="1" a="1"/>
  <c r="Y702" i="1" s="1"/>
  <c r="Y703" i="1" a="1"/>
  <c r="Y703" i="1" s="1"/>
  <c r="Y704" i="1" a="1"/>
  <c r="Y704" i="1"/>
  <c r="Y705" i="1" a="1"/>
  <c r="Y705" i="1"/>
  <c r="Y706" i="1" a="1"/>
  <c r="Y706" i="1"/>
  <c r="Y707" i="1" a="1"/>
  <c r="Y707" i="1" s="1"/>
  <c r="Y708" i="1" a="1"/>
  <c r="Y708" i="1"/>
  <c r="Y709" i="1" a="1"/>
  <c r="Y709" i="1"/>
  <c r="Y710" i="1" a="1"/>
  <c r="Y710" i="1"/>
  <c r="Y711" i="1" a="1"/>
  <c r="Y711" i="1" s="1"/>
  <c r="Y712" i="1" a="1"/>
  <c r="Y712" i="1"/>
  <c r="Y713" i="1" a="1"/>
  <c r="Y713" i="1"/>
  <c r="Y714" i="1" a="1"/>
  <c r="Y714" i="1"/>
  <c r="Y715" i="1" a="1"/>
  <c r="Y715" i="1"/>
  <c r="Y716" i="1" a="1"/>
  <c r="Y716" i="1"/>
  <c r="Y717" i="1" a="1"/>
  <c r="Y717" i="1"/>
  <c r="Y718" i="1" a="1"/>
  <c r="Y718" i="1"/>
  <c r="Y719" i="1" a="1"/>
  <c r="Y719" i="1" s="1"/>
  <c r="Y720" i="1" a="1"/>
  <c r="Y720" i="1"/>
  <c r="Y721" i="1" a="1"/>
  <c r="Y721" i="1"/>
  <c r="Y722" i="1" a="1"/>
  <c r="Y722" i="1"/>
  <c r="Y723" i="1" a="1"/>
  <c r="Y723" i="1"/>
  <c r="Y724" i="1" a="1"/>
  <c r="Y724" i="1" s="1"/>
  <c r="Y725" i="1" a="1"/>
  <c r="Y725" i="1"/>
  <c r="Y726" i="1" a="1"/>
  <c r="Y726" i="1"/>
  <c r="Y727" i="1" a="1"/>
  <c r="Y727" i="1" s="1"/>
  <c r="Y728" i="1" a="1"/>
  <c r="Y728" i="1"/>
  <c r="Y729" i="1" a="1"/>
  <c r="Y729" i="1"/>
  <c r="Y730" i="1" a="1"/>
  <c r="Y730" i="1"/>
  <c r="Y731" i="1" a="1"/>
  <c r="Y731" i="1" s="1"/>
  <c r="Y732" i="1" a="1"/>
  <c r="Y732" i="1"/>
  <c r="Y733" i="1" a="1"/>
  <c r="Y733" i="1"/>
  <c r="Y734" i="1" a="1"/>
  <c r="Y734" i="1"/>
  <c r="Y735" i="1" a="1"/>
  <c r="Y735" i="1" s="1"/>
  <c r="Y736" i="1" a="1"/>
  <c r="Y736" i="1"/>
  <c r="Y737" i="1" a="1"/>
  <c r="Y737" i="1"/>
  <c r="Y738" i="1" a="1"/>
  <c r="Y738" i="1"/>
  <c r="Y739" i="1" a="1"/>
  <c r="Y739" i="1"/>
  <c r="Y740" i="1" a="1"/>
  <c r="Y740" i="1"/>
  <c r="Y741" i="1" a="1"/>
  <c r="Y741" i="1" s="1"/>
  <c r="Y742" i="1" a="1"/>
  <c r="Y742" i="1"/>
  <c r="Y743" i="1" a="1"/>
  <c r="Y743" i="1" s="1"/>
  <c r="Y744" i="1" a="1"/>
  <c r="Y744" i="1"/>
  <c r="Y745" i="1" a="1"/>
  <c r="Y745" i="1"/>
  <c r="Y746" i="1" a="1"/>
  <c r="Y746" i="1"/>
  <c r="Y747" i="1" a="1"/>
  <c r="Y747" i="1" s="1"/>
  <c r="Y748" i="1" a="1"/>
  <c r="Y748" i="1" s="1"/>
  <c r="Y749" i="1" a="1"/>
  <c r="Y749" i="1"/>
  <c r="Y750" i="1" a="1"/>
  <c r="Y750" i="1"/>
  <c r="Y751" i="1" a="1"/>
  <c r="Y751" i="1" s="1"/>
  <c r="Y752" i="1" a="1"/>
  <c r="Y752" i="1"/>
  <c r="Y753" i="1" a="1"/>
  <c r="Y753" i="1"/>
  <c r="Y754" i="1" a="1"/>
  <c r="Y754" i="1"/>
  <c r="Y755" i="1" a="1"/>
  <c r="Y755" i="1"/>
  <c r="Y756" i="1" a="1"/>
  <c r="Y756" i="1"/>
  <c r="Y757" i="1" a="1"/>
  <c r="Y757" i="1"/>
  <c r="Y758" i="1" a="1"/>
  <c r="Y758" i="1" s="1"/>
  <c r="Y759" i="1" a="1"/>
  <c r="Y759" i="1" s="1"/>
  <c r="Y760" i="1" a="1"/>
  <c r="Y760" i="1"/>
  <c r="Y761" i="1" a="1"/>
  <c r="Y761" i="1"/>
  <c r="Y762" i="1" a="1"/>
  <c r="Y762" i="1"/>
  <c r="Y763" i="1" a="1"/>
  <c r="Y763" i="1" s="1"/>
  <c r="Y764" i="1" a="1"/>
  <c r="Y764" i="1" s="1"/>
  <c r="Y765" i="1" a="1"/>
  <c r="Y765" i="1" s="1"/>
  <c r="Y766" i="1" a="1"/>
  <c r="Y766" i="1"/>
  <c r="Y767" i="1" a="1"/>
  <c r="Y767" i="1" s="1"/>
  <c r="Y768" i="1" a="1"/>
  <c r="Y768" i="1"/>
  <c r="Y769" i="1" a="1"/>
  <c r="Y769" i="1"/>
  <c r="Y770" i="1" a="1"/>
  <c r="Y770" i="1"/>
  <c r="Y771" i="1" a="1"/>
  <c r="Y771" i="1"/>
  <c r="Y772" i="1" a="1"/>
  <c r="Y772" i="1"/>
  <c r="Y773" i="1" a="1"/>
  <c r="Y773" i="1"/>
  <c r="Y774" i="1" a="1"/>
  <c r="Y774" i="1"/>
  <c r="Y775" i="1" a="1"/>
  <c r="Y775" i="1" s="1"/>
  <c r="Y776" i="1" a="1"/>
  <c r="Y776" i="1"/>
  <c r="Y777" i="1" a="1"/>
  <c r="Y777" i="1"/>
  <c r="Y778" i="1" a="1"/>
  <c r="Y778" i="1"/>
  <c r="Y779" i="1" a="1"/>
  <c r="Y779" i="1" s="1"/>
  <c r="Y780" i="1" a="1"/>
  <c r="Y780" i="1" s="1"/>
  <c r="Y781" i="1" a="1"/>
  <c r="Y781" i="1" s="1"/>
  <c r="Y782" i="1" a="1"/>
  <c r="Y782" i="1" s="1"/>
  <c r="Y783" i="1" a="1"/>
  <c r="Y783" i="1" s="1"/>
  <c r="Y784" i="1" a="1"/>
  <c r="Y784" i="1"/>
  <c r="Y785" i="1" a="1"/>
  <c r="Y785" i="1"/>
  <c r="Y786" i="1" a="1"/>
  <c r="Y786" i="1"/>
  <c r="Y787" i="1" a="1"/>
  <c r="Y787" i="1"/>
  <c r="Y788" i="1" a="1"/>
  <c r="Y788" i="1"/>
  <c r="Y789" i="1" a="1"/>
  <c r="Y789" i="1"/>
  <c r="Y790" i="1" a="1"/>
  <c r="Y790" i="1"/>
  <c r="Y791" i="1" a="1"/>
  <c r="Y791" i="1" s="1"/>
  <c r="Y792" i="1" a="1"/>
  <c r="Y792" i="1"/>
  <c r="Y793" i="1" a="1"/>
  <c r="Y793" i="1"/>
  <c r="Y794" i="1" a="1"/>
  <c r="Y794" i="1"/>
  <c r="Y795" i="1" a="1"/>
  <c r="Y795" i="1"/>
  <c r="Y796" i="1" a="1"/>
  <c r="Y796" i="1" s="1"/>
  <c r="Y797" i="1" a="1"/>
  <c r="Y797" i="1" s="1"/>
  <c r="Y798" i="1" a="1"/>
  <c r="Y798" i="1" s="1"/>
  <c r="Y799" i="1" a="1"/>
  <c r="Y799" i="1" s="1"/>
  <c r="Y800" i="1" a="1"/>
  <c r="Y800" i="1"/>
  <c r="Y801" i="1" a="1"/>
  <c r="Y801" i="1"/>
  <c r="Y802" i="1" a="1"/>
  <c r="Y802" i="1"/>
  <c r="Y803" i="1" a="1"/>
  <c r="Y803" i="1"/>
  <c r="Y804" i="1" a="1"/>
  <c r="Y804" i="1"/>
  <c r="Y805" i="1" a="1"/>
  <c r="Y805" i="1"/>
  <c r="Y806" i="1" a="1"/>
  <c r="Y806" i="1"/>
  <c r="Y807" i="1" a="1"/>
  <c r="Y807" i="1" s="1"/>
  <c r="Y808" i="1" a="1"/>
  <c r="Y808" i="1"/>
  <c r="Y809" i="1" a="1"/>
  <c r="Y809" i="1"/>
  <c r="Y810" i="1" a="1"/>
  <c r="Y810" i="1"/>
  <c r="Y811" i="1" a="1"/>
  <c r="Y811" i="1"/>
  <c r="Y812" i="1" a="1"/>
  <c r="Y812" i="1"/>
  <c r="Y813" i="1" a="1"/>
  <c r="Y813" i="1" s="1"/>
  <c r="Y814" i="1" a="1"/>
  <c r="Y814" i="1" s="1"/>
  <c r="Y815" i="1" a="1"/>
  <c r="Y815" i="1" s="1"/>
  <c r="Y816" i="1" a="1"/>
  <c r="Y816" i="1"/>
  <c r="Y817" i="1" a="1"/>
  <c r="Y817" i="1"/>
  <c r="Y818" i="1" a="1"/>
  <c r="Y818" i="1"/>
  <c r="Y819" i="1" a="1"/>
  <c r="Y819" i="1"/>
  <c r="Y820" i="1" a="1"/>
  <c r="Y820" i="1"/>
  <c r="Y821" i="1" a="1"/>
  <c r="Y821" i="1"/>
  <c r="Y822" i="1" a="1"/>
  <c r="Y822" i="1"/>
  <c r="Y823" i="1" a="1"/>
  <c r="Y823" i="1" s="1"/>
  <c r="Y824" i="1" a="1"/>
  <c r="Y824" i="1"/>
  <c r="Y825" i="1" a="1"/>
  <c r="Y825" i="1"/>
  <c r="Y826" i="1" a="1"/>
  <c r="Y826" i="1"/>
  <c r="Y827" i="1" a="1"/>
  <c r="Y827" i="1"/>
  <c r="Y828" i="1" a="1"/>
  <c r="Y828" i="1"/>
  <c r="Y829" i="1" a="1"/>
  <c r="Y829" i="1"/>
  <c r="Y830" i="1" a="1"/>
  <c r="Y830" i="1" s="1"/>
  <c r="Y831" i="1" a="1"/>
  <c r="Y831" i="1" s="1"/>
  <c r="Y832" i="1" a="1"/>
  <c r="Y832" i="1"/>
  <c r="Y833" i="1" a="1"/>
  <c r="Y833" i="1"/>
  <c r="Y834" i="1" a="1"/>
  <c r="Y834" i="1"/>
  <c r="Y835" i="1" a="1"/>
  <c r="Y835" i="1" s="1"/>
  <c r="Y836" i="1" a="1"/>
  <c r="Y836" i="1"/>
  <c r="Y837" i="1" a="1"/>
  <c r="Y837" i="1"/>
  <c r="Y838" i="1" a="1"/>
  <c r="Y838" i="1"/>
  <c r="Y839" i="1" a="1"/>
  <c r="Y839" i="1" s="1"/>
  <c r="Y840" i="1" a="1"/>
  <c r="Y840" i="1"/>
  <c r="Y841" i="1" a="1"/>
  <c r="Y841" i="1"/>
  <c r="Y842" i="1" a="1"/>
  <c r="Y842" i="1"/>
  <c r="Y843" i="1" a="1"/>
  <c r="Y843" i="1"/>
  <c r="Y844" i="1" a="1"/>
  <c r="Y844" i="1"/>
  <c r="Y845" i="1" a="1"/>
  <c r="Y845" i="1"/>
  <c r="Y846" i="1" a="1"/>
  <c r="Y846" i="1"/>
  <c r="Y847" i="1" a="1"/>
  <c r="Y847" i="1" s="1"/>
  <c r="Y848" i="1" a="1"/>
  <c r="Y848" i="1"/>
  <c r="Y849" i="1" a="1"/>
  <c r="Y849" i="1"/>
  <c r="Y850" i="1" a="1"/>
  <c r="Y850" i="1"/>
  <c r="Y851" i="1" a="1"/>
  <c r="Y851" i="1"/>
  <c r="Y852" i="1" a="1"/>
  <c r="Y852" i="1" s="1"/>
  <c r="Y853" i="1" a="1"/>
  <c r="Y853" i="1"/>
  <c r="Y854" i="1" a="1"/>
  <c r="Y854" i="1"/>
  <c r="Y855" i="1" a="1"/>
  <c r="Y855" i="1" s="1"/>
  <c r="Y856" i="1" a="1"/>
  <c r="Y856" i="1"/>
  <c r="Y857" i="1" a="1"/>
  <c r="Y857" i="1"/>
  <c r="Y858" i="1" a="1"/>
  <c r="Y858" i="1"/>
  <c r="Y859" i="1" a="1"/>
  <c r="Y859" i="1" s="1"/>
  <c r="Y860" i="1" a="1"/>
  <c r="Y860" i="1"/>
  <c r="Y861" i="1" a="1"/>
  <c r="Y861" i="1"/>
  <c r="Y862" i="1" a="1"/>
  <c r="Y862" i="1"/>
  <c r="Y863" i="1" a="1"/>
  <c r="Y863" i="1" s="1"/>
  <c r="Y864" i="1" a="1"/>
  <c r="Y864" i="1"/>
  <c r="Y865" i="1" a="1"/>
  <c r="Y865" i="1"/>
  <c r="Y866" i="1" a="1"/>
  <c r="Y866" i="1"/>
  <c r="Y867" i="1" a="1"/>
  <c r="Y867" i="1"/>
  <c r="Y868" i="1" a="1"/>
  <c r="Y868" i="1"/>
  <c r="Y869" i="1" a="1"/>
  <c r="Y869" i="1" s="1"/>
  <c r="Y870" i="1" a="1"/>
  <c r="Y870" i="1"/>
  <c r="Y871" i="1" a="1"/>
  <c r="Y871" i="1" s="1"/>
  <c r="Y872" i="1" a="1"/>
  <c r="Y872" i="1"/>
  <c r="Y873" i="1" a="1"/>
  <c r="Y873" i="1"/>
  <c r="Y874" i="1" a="1"/>
  <c r="Y874" i="1"/>
  <c r="Y875" i="1" a="1"/>
  <c r="Y875" i="1" s="1"/>
  <c r="Y876" i="1" a="1"/>
  <c r="Y876" i="1" s="1"/>
  <c r="Y877" i="1" a="1"/>
  <c r="Y877" i="1"/>
  <c r="Y878" i="1" a="1"/>
  <c r="Y878" i="1"/>
  <c r="Y879" i="1" a="1"/>
  <c r="Y879" i="1" s="1"/>
  <c r="Y880" i="1" a="1"/>
  <c r="Y880" i="1"/>
  <c r="Y881" i="1" a="1"/>
  <c r="Y881" i="1"/>
  <c r="Y882" i="1" a="1"/>
  <c r="Y882" i="1"/>
  <c r="Y883" i="1" a="1"/>
  <c r="Y883" i="1"/>
  <c r="Y884" i="1" a="1"/>
  <c r="Y884" i="1"/>
  <c r="Y885" i="1" a="1"/>
  <c r="Y885" i="1"/>
  <c r="Y886" i="1" a="1"/>
  <c r="Y886" i="1" s="1"/>
  <c r="Y887" i="1" a="1"/>
  <c r="Y887" i="1" s="1"/>
  <c r="Y888" i="1" a="1"/>
  <c r="Y888" i="1"/>
  <c r="Y889" i="1" a="1"/>
  <c r="Y889" i="1"/>
  <c r="Y890" i="1" a="1"/>
  <c r="Y890" i="1"/>
  <c r="Y891" i="1" a="1"/>
  <c r="Y891" i="1" s="1"/>
  <c r="Y892" i="1" a="1"/>
  <c r="Y892" i="1" s="1"/>
  <c r="Y893" i="1" a="1"/>
  <c r="Y893" i="1" s="1"/>
  <c r="Y894" i="1" a="1"/>
  <c r="Y894" i="1"/>
  <c r="Y895" i="1" a="1"/>
  <c r="Y895" i="1" s="1"/>
  <c r="Y896" i="1" a="1"/>
  <c r="Y896" i="1"/>
  <c r="Y897" i="1" a="1"/>
  <c r="Y897" i="1"/>
  <c r="Y898" i="1" a="1"/>
  <c r="Y898" i="1"/>
  <c r="Y899" i="1" a="1"/>
  <c r="Y899" i="1"/>
  <c r="Y900" i="1" a="1"/>
  <c r="Y900" i="1"/>
  <c r="Y901" i="1" a="1"/>
  <c r="Y901" i="1"/>
  <c r="Y902" i="1" a="1"/>
  <c r="Y902" i="1"/>
  <c r="Y903" i="1" a="1"/>
  <c r="Y903" i="1" s="1"/>
  <c r="Y904" i="1" a="1"/>
  <c r="Y904" i="1"/>
  <c r="Y905" i="1" a="1"/>
  <c r="Y905" i="1"/>
  <c r="Y906" i="1" a="1"/>
  <c r="Y906" i="1"/>
  <c r="Y907" i="1" a="1"/>
  <c r="Y907" i="1" s="1"/>
  <c r="Y908" i="1" a="1"/>
  <c r="Y908" i="1" s="1"/>
  <c r="Y909" i="1" a="1"/>
  <c r="Y909" i="1" s="1"/>
  <c r="Y910" i="1" a="1"/>
  <c r="Y910" i="1" s="1"/>
  <c r="Y911" i="1" a="1"/>
  <c r="Y911" i="1" s="1"/>
  <c r="Y912" i="1" a="1"/>
  <c r="Y912" i="1"/>
  <c r="Y913" i="1" a="1"/>
  <c r="Y913" i="1"/>
  <c r="Y914" i="1" a="1"/>
  <c r="Y914" i="1"/>
  <c r="Y915" i="1" a="1"/>
  <c r="Y915" i="1"/>
  <c r="Y916" i="1" a="1"/>
  <c r="Y916" i="1"/>
  <c r="Y917" i="1" a="1"/>
  <c r="Y917" i="1"/>
  <c r="Y918" i="1" a="1"/>
  <c r="Y918" i="1"/>
  <c r="Y919" i="1" a="1"/>
  <c r="Y919" i="1" s="1"/>
  <c r="Y920" i="1" a="1"/>
  <c r="Y920" i="1"/>
  <c r="Y921" i="1" a="1"/>
  <c r="Y921" i="1"/>
  <c r="Y922" i="1" a="1"/>
  <c r="Y922" i="1"/>
  <c r="Y923" i="1" a="1"/>
  <c r="Y923" i="1"/>
  <c r="Y924" i="1" a="1"/>
  <c r="Y924" i="1" s="1"/>
  <c r="Y925" i="1" a="1"/>
  <c r="Y925" i="1" s="1"/>
  <c r="Y926" i="1" a="1"/>
  <c r="Y926" i="1" s="1"/>
  <c r="Y927" i="1" a="1"/>
  <c r="Y927" i="1" s="1"/>
  <c r="Y928" i="1" a="1"/>
  <c r="Y928" i="1"/>
  <c r="Y929" i="1" a="1"/>
  <c r="Y929" i="1"/>
  <c r="Y930" i="1" a="1"/>
  <c r="Y930" i="1"/>
  <c r="Y931" i="1" a="1"/>
  <c r="Y931" i="1"/>
  <c r="Y932" i="1" a="1"/>
  <c r="Y932" i="1"/>
  <c r="Y933" i="1" a="1"/>
  <c r="Y933" i="1"/>
  <c r="Y934" i="1" a="1"/>
  <c r="Y934" i="1"/>
  <c r="Y935" i="1" a="1"/>
  <c r="Y935" i="1" s="1"/>
  <c r="Y936" i="1" a="1"/>
  <c r="Y936" i="1"/>
  <c r="Y937" i="1" a="1"/>
  <c r="Y937" i="1"/>
  <c r="Y938" i="1" a="1"/>
  <c r="Y938" i="1"/>
  <c r="Y939" i="1" a="1"/>
  <c r="Y939" i="1"/>
  <c r="Y940" i="1" a="1"/>
  <c r="Y940" i="1"/>
  <c r="Y941" i="1" a="1"/>
  <c r="Y941" i="1" s="1"/>
  <c r="Y942" i="1" a="1"/>
  <c r="Y942" i="1" s="1"/>
  <c r="Y943" i="1" a="1"/>
  <c r="Y943" i="1" s="1"/>
  <c r="Y944" i="1" a="1"/>
  <c r="Y944" i="1"/>
  <c r="Y945" i="1" a="1"/>
  <c r="Y945" i="1"/>
  <c r="Y946" i="1" a="1"/>
  <c r="Y946" i="1"/>
  <c r="Y947" i="1" a="1"/>
  <c r="Y947" i="1"/>
  <c r="Y948" i="1" a="1"/>
  <c r="Y948" i="1"/>
  <c r="Y949" i="1" a="1"/>
  <c r="Y949" i="1"/>
  <c r="Y950" i="1" a="1"/>
  <c r="Y950" i="1"/>
  <c r="Y951" i="1" a="1"/>
  <c r="Y951" i="1" s="1"/>
  <c r="Y952" i="1" a="1"/>
  <c r="Y952" i="1"/>
  <c r="Y953" i="1" a="1"/>
  <c r="Y953" i="1"/>
  <c r="Y954" i="1" a="1"/>
  <c r="Y954" i="1"/>
  <c r="Y955" i="1" a="1"/>
  <c r="Y955" i="1"/>
  <c r="Y956" i="1" a="1"/>
  <c r="Y956" i="1"/>
  <c r="Y957" i="1" a="1"/>
  <c r="Y957" i="1"/>
  <c r="Y958" i="1" a="1"/>
  <c r="Y958" i="1" s="1"/>
  <c r="Y959" i="1" a="1"/>
  <c r="Y959" i="1" s="1"/>
  <c r="Y960" i="1" a="1"/>
  <c r="Y960" i="1"/>
  <c r="Y961" i="1" a="1"/>
  <c r="Y961" i="1"/>
  <c r="Y962" i="1" a="1"/>
  <c r="Y962" i="1"/>
  <c r="Y963" i="1" a="1"/>
  <c r="Y963" i="1" s="1"/>
  <c r="Y964" i="1" a="1"/>
  <c r="Y964" i="1"/>
  <c r="Y965" i="1" a="1"/>
  <c r="Y965" i="1"/>
  <c r="Y966" i="1" a="1"/>
  <c r="Y966" i="1"/>
  <c r="Y967" i="1" a="1"/>
  <c r="Y967" i="1" s="1"/>
  <c r="Y968" i="1" a="1"/>
  <c r="Y968" i="1"/>
  <c r="Y969" i="1" a="1"/>
  <c r="Y969" i="1"/>
  <c r="Y970" i="1" a="1"/>
  <c r="Y970" i="1"/>
  <c r="Y971" i="1" a="1"/>
  <c r="Y971" i="1"/>
  <c r="Y972" i="1" a="1"/>
  <c r="Y972" i="1"/>
  <c r="Y973" i="1" a="1"/>
  <c r="Y973" i="1"/>
  <c r="Y974" i="1" a="1"/>
  <c r="Y974" i="1"/>
  <c r="Y975" i="1" a="1"/>
  <c r="Y975" i="1" s="1"/>
  <c r="Y976" i="1" a="1"/>
  <c r="Y976" i="1"/>
  <c r="Y977" i="1" a="1"/>
  <c r="Y977" i="1"/>
  <c r="Y978" i="1" a="1"/>
  <c r="Y978" i="1"/>
  <c r="Y979" i="1" a="1"/>
  <c r="Y979" i="1"/>
  <c r="Y980" i="1" a="1"/>
  <c r="Y980" i="1" s="1"/>
  <c r="Y981" i="1" a="1"/>
  <c r="Y981" i="1"/>
  <c r="Y982" i="1" a="1"/>
  <c r="Y982" i="1"/>
  <c r="Y983" i="1" a="1"/>
  <c r="Y983" i="1" s="1"/>
  <c r="Y984" i="1" a="1"/>
  <c r="Y984" i="1"/>
  <c r="Y985" i="1" a="1"/>
  <c r="Y985" i="1"/>
  <c r="Y986" i="1" a="1"/>
  <c r="Y986" i="1"/>
  <c r="Y987" i="1" a="1"/>
  <c r="Y987" i="1" s="1"/>
  <c r="Y988" i="1" a="1"/>
  <c r="Y988" i="1"/>
  <c r="Y989" i="1" a="1"/>
  <c r="Y989" i="1"/>
  <c r="Y990" i="1" a="1"/>
  <c r="Y990" i="1"/>
  <c r="Y991" i="1" a="1"/>
  <c r="Y991" i="1" s="1"/>
  <c r="Y992" i="1" a="1"/>
  <c r="Y992" i="1"/>
  <c r="Y993" i="1" a="1"/>
  <c r="Y993" i="1"/>
  <c r="Y994" i="1" a="1"/>
  <c r="Y994" i="1"/>
  <c r="Y995" i="1" a="1"/>
  <c r="Y995" i="1"/>
  <c r="Y996" i="1" a="1"/>
  <c r="Y996" i="1"/>
  <c r="Y997" i="1" a="1"/>
  <c r="Y997" i="1" s="1"/>
  <c r="Y998" i="1" a="1"/>
  <c r="Y998" i="1"/>
  <c r="Y999" i="1" a="1"/>
  <c r="Y999" i="1" s="1"/>
  <c r="Y1000" i="1" a="1"/>
  <c r="Y1000" i="1"/>
  <c r="Y1001" i="1" a="1"/>
  <c r="Y1001" i="1"/>
  <c r="Y1002" i="1" a="1"/>
  <c r="Y1002" i="1"/>
  <c r="Y1003" i="1" a="1"/>
  <c r="Y1003" i="1" s="1"/>
  <c r="Y1004" i="1" a="1"/>
  <c r="Y1004" i="1" s="1"/>
  <c r="Y1005" i="1" a="1"/>
  <c r="Y1005" i="1"/>
  <c r="Y1006" i="1" a="1"/>
  <c r="Y1006" i="1"/>
  <c r="Y1007" i="1" a="1"/>
  <c r="Y1007" i="1" s="1"/>
  <c r="Y1008" i="1" a="1"/>
  <c r="Y1008" i="1"/>
  <c r="Y1009" i="1" a="1"/>
  <c r="Y1009" i="1"/>
  <c r="Y1010" i="1" a="1"/>
  <c r="Y1010" i="1"/>
  <c r="Y1011" i="1" a="1"/>
  <c r="Y1011" i="1"/>
  <c r="Y1012" i="1" a="1"/>
  <c r="Y1012" i="1"/>
  <c r="Y1013" i="1" a="1"/>
  <c r="Y1013" i="1"/>
  <c r="Y1014" i="1" a="1"/>
  <c r="Y1014" i="1" s="1"/>
  <c r="Y1015" i="1" a="1"/>
  <c r="Y1015" i="1" s="1"/>
  <c r="Y1016" i="1" a="1"/>
  <c r="Y1016" i="1"/>
  <c r="Y1017" i="1" a="1"/>
  <c r="Y1017" i="1"/>
  <c r="Y1018" i="1" a="1"/>
  <c r="Y1018" i="1"/>
  <c r="Y1019" i="1" a="1"/>
  <c r="Y1019" i="1" s="1"/>
  <c r="Y1020" i="1" a="1"/>
  <c r="Y1020" i="1" s="1"/>
  <c r="Y1021" i="1" a="1"/>
  <c r="Y1021" i="1" s="1"/>
  <c r="Y1022" i="1" a="1"/>
  <c r="Y1022" i="1"/>
  <c r="Y1023" i="1" a="1"/>
  <c r="Y1023" i="1" s="1"/>
  <c r="Y1024" i="1" a="1"/>
  <c r="Y1024" i="1"/>
  <c r="Y1025" i="1" a="1"/>
  <c r="Y1025" i="1"/>
  <c r="Y1026" i="1" a="1"/>
  <c r="Y1026" i="1"/>
  <c r="Y1027" i="1" a="1"/>
  <c r="Y1027" i="1"/>
  <c r="Y1028" i="1" a="1"/>
  <c r="Y1028" i="1"/>
  <c r="Y1029" i="1" a="1"/>
  <c r="Y1029" i="1"/>
  <c r="Y1030" i="1" a="1"/>
  <c r="Y1030" i="1"/>
  <c r="Y1031" i="1" a="1"/>
  <c r="Y1031" i="1" s="1"/>
  <c r="Y1032" i="1" a="1"/>
  <c r="Y1032" i="1"/>
  <c r="Y1033" i="1" a="1"/>
  <c r="Y1033" i="1"/>
  <c r="Y1034" i="1" a="1"/>
  <c r="Y1034" i="1"/>
  <c r="Y1035" i="1" a="1"/>
  <c r="Y1035" i="1" s="1"/>
  <c r="Y1036" i="1" a="1"/>
  <c r="Y1036" i="1" s="1"/>
  <c r="Y1037" i="1" a="1"/>
  <c r="Y1037" i="1" s="1"/>
  <c r="Y1038" i="1" a="1"/>
  <c r="Y1038" i="1" s="1"/>
  <c r="Y1039" i="1" a="1"/>
  <c r="Y1039" i="1" s="1"/>
  <c r="Y1040" i="1" a="1"/>
  <c r="Y1040" i="1"/>
  <c r="Y1041" i="1" a="1"/>
  <c r="Y1041" i="1"/>
  <c r="Y1042" i="1" a="1"/>
  <c r="Y1042" i="1"/>
  <c r="Y1043" i="1" a="1"/>
  <c r="Y1043" i="1"/>
  <c r="Y1044" i="1" a="1"/>
  <c r="Y1044" i="1"/>
  <c r="Y1045" i="1" a="1"/>
  <c r="Y1045" i="1"/>
  <c r="Y1046" i="1" a="1"/>
  <c r="Y1046" i="1"/>
  <c r="Y1047" i="1" a="1"/>
  <c r="Y1047" i="1" s="1"/>
  <c r="Y1048" i="1" a="1"/>
  <c r="Y1048" i="1"/>
  <c r="Y1049" i="1" a="1"/>
  <c r="Y1049" i="1"/>
  <c r="Y1050" i="1" a="1"/>
  <c r="Y1050" i="1"/>
  <c r="Y1051" i="1" a="1"/>
  <c r="Y1051" i="1"/>
  <c r="Y1052" i="1" a="1"/>
  <c r="Y1052" i="1" s="1"/>
  <c r="Y1053" i="1" a="1"/>
  <c r="Y1053" i="1" s="1"/>
  <c r="Y1054" i="1" a="1"/>
  <c r="Y1054" i="1" s="1"/>
  <c r="Y1055" i="1" a="1"/>
  <c r="Y1055" i="1" s="1"/>
  <c r="Y1056" i="1" a="1"/>
  <c r="Y1056" i="1"/>
  <c r="Y1057" i="1" a="1"/>
  <c r="Y1057" i="1"/>
  <c r="Y1058" i="1" a="1"/>
  <c r="Y1058" i="1"/>
  <c r="Y1059" i="1" a="1"/>
  <c r="Y1059" i="1"/>
  <c r="Y1060" i="1" a="1"/>
  <c r="Y1060" i="1"/>
  <c r="Y1061" i="1" a="1"/>
  <c r="Y1061" i="1"/>
  <c r="Y1062" i="1" a="1"/>
  <c r="Y1062" i="1"/>
  <c r="Y1063" i="1" a="1"/>
  <c r="Y1063" i="1" s="1"/>
  <c r="Y1064" i="1" a="1"/>
  <c r="Y1064" i="1"/>
  <c r="Y1065" i="1" a="1"/>
  <c r="Y1065" i="1"/>
  <c r="Y1066" i="1" a="1"/>
  <c r="Y1066" i="1"/>
  <c r="Y1067" i="1" a="1"/>
  <c r="Y1067" i="1"/>
  <c r="Y1068" i="1" a="1"/>
  <c r="Y1068" i="1"/>
  <c r="Y1069" i="1" a="1"/>
  <c r="Y1069" i="1" s="1"/>
  <c r="Y1070" i="1" a="1"/>
  <c r="Y1070" i="1" s="1"/>
  <c r="Y1071" i="1" a="1"/>
  <c r="Y1071" i="1" s="1"/>
  <c r="Y1072" i="1" a="1"/>
  <c r="Y1072" i="1"/>
  <c r="Y1073" i="1" a="1"/>
  <c r="Y1073" i="1"/>
  <c r="Y1074" i="1" a="1"/>
  <c r="Y1074" i="1"/>
  <c r="Y1075" i="1" a="1"/>
  <c r="Y1075" i="1"/>
  <c r="Y1076" i="1" a="1"/>
  <c r="Y1076" i="1"/>
  <c r="Y1077" i="1" a="1"/>
  <c r="Y1077" i="1"/>
  <c r="Y1078" i="1" a="1"/>
  <c r="Y1078" i="1"/>
  <c r="Y1079" i="1" a="1"/>
  <c r="Y1079" i="1" s="1"/>
  <c r="Y1080" i="1" a="1"/>
  <c r="Y1080" i="1"/>
  <c r="Y1081" i="1" a="1"/>
  <c r="Y1081" i="1"/>
  <c r="Y1082" i="1" a="1"/>
  <c r="Y1082" i="1"/>
  <c r="Y1083" i="1" a="1"/>
  <c r="Y1083" i="1"/>
  <c r="Y1084" i="1" a="1"/>
  <c r="Y1084" i="1"/>
  <c r="Y1085" i="1" a="1"/>
  <c r="Y1085" i="1"/>
  <c r="Y1086" i="1" a="1"/>
  <c r="Y1086" i="1" s="1"/>
  <c r="Y1087" i="1" a="1"/>
  <c r="Y1087" i="1" s="1"/>
  <c r="Y1088" i="1" a="1"/>
  <c r="Y1088" i="1"/>
  <c r="Y1089" i="1" a="1"/>
  <c r="Y1089" i="1"/>
  <c r="Y1090" i="1" a="1"/>
  <c r="Y1090" i="1"/>
  <c r="Y1091" i="1" a="1"/>
  <c r="Y1091" i="1" s="1"/>
  <c r="Y1092" i="1" a="1"/>
  <c r="Y1092" i="1"/>
  <c r="Y1093" i="1" a="1"/>
  <c r="Y1093" i="1"/>
  <c r="Y1094" i="1" a="1"/>
  <c r="Y1094" i="1"/>
  <c r="Y1095" i="1" a="1"/>
  <c r="Y1095" i="1" s="1"/>
  <c r="Y1096" i="1" a="1"/>
  <c r="Y1096" i="1"/>
  <c r="Y1097" i="1" a="1"/>
  <c r="Y1097" i="1"/>
  <c r="Y1098" i="1" a="1"/>
  <c r="Y1098" i="1"/>
  <c r="Y1099" i="1" a="1"/>
  <c r="Y1099" i="1"/>
  <c r="Y1100" i="1" a="1"/>
  <c r="Y1100" i="1"/>
  <c r="Y1101" i="1" a="1"/>
  <c r="Y1101" i="1"/>
  <c r="Y1102" i="1" a="1"/>
  <c r="Y1102" i="1"/>
  <c r="Y1103" i="1" a="1"/>
  <c r="Y1103" i="1" s="1"/>
  <c r="Y1104" i="1" a="1"/>
  <c r="Y1104" i="1"/>
  <c r="Y1105" i="1" a="1"/>
  <c r="Y1105" i="1"/>
  <c r="Y1106" i="1" a="1"/>
  <c r="Y1106" i="1"/>
  <c r="Y1107" i="1" a="1"/>
  <c r="Y1107" i="1"/>
  <c r="Y1108" i="1" a="1"/>
  <c r="Y1108" i="1" s="1"/>
  <c r="Y1109" i="1" a="1"/>
  <c r="Y1109" i="1"/>
  <c r="Y1110" i="1" a="1"/>
  <c r="Y1110" i="1"/>
  <c r="Y1111" i="1" a="1"/>
  <c r="Y1111" i="1" s="1"/>
  <c r="Y1112" i="1" a="1"/>
  <c r="Y1112" i="1"/>
  <c r="Y1113" i="1" a="1"/>
  <c r="Y1113" i="1"/>
  <c r="Y1114" i="1" a="1"/>
  <c r="Y1114" i="1"/>
  <c r="Y1115" i="1" a="1"/>
  <c r="Y1115" i="1" s="1"/>
  <c r="Y1116" i="1" a="1"/>
  <c r="Y1116" i="1"/>
  <c r="Y1117" i="1" a="1"/>
  <c r="Y1117" i="1"/>
  <c r="Y1118" i="1" a="1"/>
  <c r="Y1118" i="1"/>
  <c r="Y1119" i="1" a="1"/>
  <c r="Y1119" i="1" s="1"/>
  <c r="Y1120" i="1" a="1"/>
  <c r="Y1120" i="1"/>
  <c r="Y1121" i="1" a="1"/>
  <c r="Y1121" i="1"/>
  <c r="Y1122" i="1" a="1"/>
  <c r="Y1122" i="1"/>
  <c r="Y1123" i="1" a="1"/>
  <c r="Y1123" i="1"/>
  <c r="Y1124" i="1" a="1"/>
  <c r="Y1124" i="1"/>
  <c r="Y1125" i="1" a="1"/>
  <c r="Y1125" i="1" s="1"/>
  <c r="Y1126" i="1" a="1"/>
  <c r="Y1126" i="1"/>
  <c r="Y1127" i="1" a="1"/>
  <c r="Y1127" i="1" s="1"/>
  <c r="Y1128" i="1" a="1"/>
  <c r="Y1128" i="1"/>
  <c r="Y1129" i="1" a="1"/>
  <c r="Y1129" i="1"/>
  <c r="Y1130" i="1" a="1"/>
  <c r="Y1130" i="1"/>
  <c r="Y1131" i="1" a="1"/>
  <c r="Y1131" i="1" s="1"/>
  <c r="Y1132" i="1" a="1"/>
  <c r="Y1132" i="1" s="1"/>
  <c r="Y1133" i="1" a="1"/>
  <c r="Y1133" i="1"/>
  <c r="Y1134" i="1" a="1"/>
  <c r="Y1134" i="1"/>
  <c r="Y1135" i="1" a="1"/>
  <c r="Y1135" i="1" s="1"/>
  <c r="Y1136" i="1" a="1"/>
  <c r="Y1136" i="1"/>
  <c r="Y1137" i="1" a="1"/>
  <c r="Y1137" i="1"/>
  <c r="Y1138" i="1" a="1"/>
  <c r="Y1138" i="1"/>
  <c r="Y1139" i="1" a="1"/>
  <c r="Y1139" i="1"/>
  <c r="Y1140" i="1" a="1"/>
  <c r="Y1140" i="1"/>
  <c r="Y1141" i="1" a="1"/>
  <c r="Y1141" i="1"/>
  <c r="Y1142" i="1" a="1"/>
  <c r="Y1142" i="1" s="1"/>
  <c r="Y1143" i="1" a="1"/>
  <c r="Y1143" i="1" s="1"/>
  <c r="Y1144" i="1" a="1"/>
  <c r="Y1144" i="1"/>
  <c r="Y1145" i="1" a="1"/>
  <c r="Y1145" i="1"/>
  <c r="Y1146" i="1" a="1"/>
  <c r="Y1146" i="1" s="1"/>
  <c r="Y1147" i="1" a="1"/>
  <c r="Y1147" i="1" s="1"/>
  <c r="Y1148" i="1" a="1"/>
  <c r="Y1148" i="1" s="1"/>
  <c r="Y1149" i="1" a="1"/>
  <c r="Y1149" i="1" s="1"/>
  <c r="Y1150" i="1" a="1"/>
  <c r="Y1150" i="1"/>
  <c r="Y1151" i="1" a="1"/>
  <c r="Y1151" i="1" s="1"/>
  <c r="Y1152" i="1" a="1"/>
  <c r="Y1152" i="1"/>
  <c r="Y1153" i="1" a="1"/>
  <c r="Y1153" i="1"/>
  <c r="Y1154" i="1" a="1"/>
  <c r="Y1154" i="1"/>
  <c r="Y1155" i="1" a="1"/>
  <c r="Y1155" i="1"/>
  <c r="Y1156" i="1" a="1"/>
  <c r="Y1156" i="1"/>
  <c r="Y1157" i="1" a="1"/>
  <c r="Y1157" i="1"/>
  <c r="Y1158" i="1" a="1"/>
  <c r="Y1158" i="1"/>
  <c r="Y1159" i="1" a="1"/>
  <c r="Y1159" i="1" s="1"/>
  <c r="Y1160" i="1" a="1"/>
  <c r="Y1160" i="1"/>
  <c r="Y1161" i="1" a="1"/>
  <c r="Y1161" i="1"/>
  <c r="Y1162" i="1" a="1"/>
  <c r="Y1162" i="1"/>
  <c r="Y1163" i="1" a="1"/>
  <c r="Y1163" i="1" s="1"/>
  <c r="Y1164" i="1" a="1"/>
  <c r="Y1164" i="1" s="1"/>
  <c r="Y1165" i="1" a="1"/>
  <c r="Y1165" i="1" s="1"/>
  <c r="Y1166" i="1" a="1"/>
  <c r="Y1166" i="1" s="1"/>
  <c r="Y1167" i="1" a="1"/>
  <c r="Y1167" i="1" s="1"/>
  <c r="Y1168" i="1" a="1"/>
  <c r="Y1168" i="1"/>
  <c r="Y1169" i="1" a="1"/>
  <c r="Y1169" i="1"/>
  <c r="Y1170" i="1" a="1"/>
  <c r="Y1170" i="1"/>
  <c r="Y1171" i="1" a="1"/>
  <c r="Y1171" i="1"/>
  <c r="Y1172" i="1" a="1"/>
  <c r="Y1172" i="1"/>
  <c r="Y1173" i="1" a="1"/>
  <c r="Y1173" i="1"/>
  <c r="Y1174" i="1" a="1"/>
  <c r="Y1174" i="1"/>
  <c r="Y1175" i="1" a="1"/>
  <c r="Y1175" i="1" s="1"/>
  <c r="Y1176" i="1" a="1"/>
  <c r="Y1176" i="1"/>
  <c r="Y1177" i="1" a="1"/>
  <c r="Y1177" i="1"/>
  <c r="Y1178" i="1" a="1"/>
  <c r="Y1178" i="1"/>
  <c r="Y1179" i="1" a="1"/>
  <c r="Y1179" i="1"/>
  <c r="Y1180" i="1" a="1"/>
  <c r="Y1180" i="1" s="1"/>
  <c r="Y1181" i="1" a="1"/>
  <c r="Y1181" i="1" s="1"/>
  <c r="Y1182" i="1" a="1"/>
  <c r="Y1182" i="1" s="1"/>
  <c r="Y1183" i="1" a="1"/>
  <c r="Y1183" i="1" s="1"/>
  <c r="Y1184" i="1" a="1"/>
  <c r="Y1184" i="1"/>
  <c r="Y1185" i="1" a="1"/>
  <c r="Y1185" i="1" s="1"/>
  <c r="Y1186" i="1" a="1"/>
  <c r="Y1186" i="1"/>
  <c r="Y1187" i="1" a="1"/>
  <c r="Y1187" i="1"/>
  <c r="Y1188" i="1" a="1"/>
  <c r="Y1188" i="1"/>
  <c r="Y1189" i="1" a="1"/>
  <c r="Y1189" i="1"/>
  <c r="Y1190" i="1" a="1"/>
  <c r="Y1190" i="1"/>
  <c r="Y1191" i="1" a="1"/>
  <c r="Y1191" i="1" s="1"/>
  <c r="Y1192" i="1" a="1"/>
  <c r="Y1192" i="1"/>
  <c r="Y1193" i="1" a="1"/>
  <c r="Y1193" i="1"/>
  <c r="Y1194" i="1" a="1"/>
  <c r="Y1194" i="1"/>
  <c r="Y1195" i="1" a="1"/>
  <c r="Y1195" i="1"/>
  <c r="Y1196" i="1" a="1"/>
  <c r="Y1196" i="1"/>
  <c r="Y1197" i="1" a="1"/>
  <c r="Y1197" i="1" s="1"/>
  <c r="Y1198" i="1" a="1"/>
  <c r="Y1198" i="1" s="1"/>
  <c r="Y1199" i="1" a="1"/>
  <c r="Y1199" i="1" s="1"/>
  <c r="Y1200" i="1" a="1"/>
  <c r="Y1200" i="1"/>
  <c r="Y1201" i="1" a="1"/>
  <c r="Y1201" i="1"/>
  <c r="Y1202" i="1" a="1"/>
  <c r="Y1202" i="1" s="1"/>
  <c r="Y1203" i="1" a="1"/>
  <c r="Y1203" i="1"/>
  <c r="Y1204" i="1" a="1"/>
  <c r="Y1204" i="1"/>
  <c r="Y1205" i="1" a="1"/>
  <c r="Y1205" i="1"/>
  <c r="Y1206" i="1" a="1"/>
  <c r="Y1206" i="1"/>
  <c r="Y1207" i="1" a="1"/>
  <c r="Y1207" i="1" s="1"/>
  <c r="Y1208" i="1" a="1"/>
  <c r="Y1208" i="1"/>
  <c r="Y1209" i="1" a="1"/>
  <c r="Y1209" i="1" s="1"/>
  <c r="Y1210" i="1" a="1"/>
  <c r="Y1210" i="1"/>
  <c r="Y1211" i="1" a="1"/>
  <c r="Y1211" i="1"/>
  <c r="Y1212" i="1" a="1"/>
  <c r="Y1212" i="1"/>
  <c r="Y1213" i="1" a="1"/>
  <c r="Y1213" i="1"/>
  <c r="Y1214" i="1" a="1"/>
  <c r="Y1214" i="1" s="1"/>
  <c r="Y1215" i="1" a="1"/>
  <c r="Y1215" i="1" s="1"/>
  <c r="Y1216" i="1" a="1"/>
  <c r="Y1216" i="1"/>
  <c r="Y1217" i="1" a="1"/>
  <c r="Y1217" i="1"/>
  <c r="Y1218" i="1" a="1"/>
  <c r="Y1218" i="1"/>
  <c r="Y1219" i="1" a="1"/>
  <c r="Y1219" i="1" s="1"/>
  <c r="Y1220" i="1" a="1"/>
  <c r="Y1220" i="1"/>
  <c r="Y1221" i="1" a="1"/>
  <c r="Y1221" i="1"/>
  <c r="Y1222" i="1" a="1"/>
  <c r="Y1222" i="1"/>
  <c r="Y1223" i="1" a="1"/>
  <c r="Y1223" i="1" s="1"/>
  <c r="Y1224" i="1" a="1"/>
  <c r="Y1224" i="1"/>
  <c r="Y1225" i="1" a="1"/>
  <c r="Y1225" i="1" s="1"/>
  <c r="Y1226" i="1" a="1"/>
  <c r="Y1226" i="1" s="1"/>
  <c r="Y1227" i="1" a="1"/>
  <c r="Y1227" i="1"/>
  <c r="Y1228" i="1" a="1"/>
  <c r="Y1228" i="1"/>
  <c r="Y1229" i="1" a="1"/>
  <c r="Y1229" i="1"/>
  <c r="Y1230" i="1" a="1"/>
  <c r="Y1230" i="1"/>
  <c r="Y1231" i="1" a="1"/>
  <c r="Y1231" i="1" s="1"/>
  <c r="Y1232" i="1" a="1"/>
  <c r="Y1232" i="1"/>
  <c r="Y1233" i="1" a="1"/>
  <c r="Y1233" i="1"/>
  <c r="Y1234" i="1" a="1"/>
  <c r="Y1234" i="1"/>
  <c r="Y1235" i="1" a="1"/>
  <c r="Y1235" i="1"/>
  <c r="Y1236" i="1" a="1"/>
  <c r="Y1236" i="1" s="1"/>
  <c r="Y1237" i="1" a="1"/>
  <c r="Y1237" i="1"/>
  <c r="Y1238" i="1" a="1"/>
  <c r="Y1238" i="1"/>
  <c r="Y1239" i="1" a="1"/>
  <c r="Y1239" i="1" s="1"/>
  <c r="Y1240" i="1" a="1"/>
  <c r="Y1240" i="1"/>
  <c r="Y1241" i="1" a="1"/>
  <c r="Y1241" i="1" s="1"/>
  <c r="Y1242" i="1" a="1"/>
  <c r="Y1242" i="1" s="1"/>
  <c r="Y1243" i="1" a="1"/>
  <c r="Y1243" i="1" s="1"/>
  <c r="Y1244" i="1" a="1"/>
  <c r="Y1244" i="1"/>
  <c r="Y1245" i="1" a="1"/>
  <c r="Y1245" i="1"/>
  <c r="Y1246" i="1" a="1"/>
  <c r="Y1246" i="1"/>
  <c r="Y1247" i="1" a="1"/>
  <c r="Y1247" i="1" s="1"/>
  <c r="Y1248" i="1" a="1"/>
  <c r="Y1248" i="1"/>
  <c r="Y1249" i="1" a="1"/>
  <c r="Y1249" i="1"/>
  <c r="Y1250" i="1" a="1"/>
  <c r="Y1250" i="1"/>
  <c r="Y1251" i="1" a="1"/>
  <c r="Y1251" i="1"/>
  <c r="Y1252" i="1" a="1"/>
  <c r="Y1252" i="1"/>
  <c r="Y1253" i="1" a="1"/>
  <c r="Y1253" i="1" s="1"/>
  <c r="Y1254" i="1" a="1"/>
  <c r="Y1254" i="1"/>
  <c r="Y1255" i="1" a="1"/>
  <c r="Y1255" i="1" s="1"/>
  <c r="Y1256" i="1" a="1"/>
  <c r="Y1256" i="1"/>
  <c r="Y1257" i="1" a="1"/>
  <c r="Y1257" i="1" s="1"/>
  <c r="Y1258" i="1" a="1"/>
  <c r="Y1258" i="1" s="1"/>
  <c r="Y1259" i="1" a="1"/>
  <c r="Y1259" i="1" s="1"/>
  <c r="Y1260" i="1" a="1"/>
  <c r="Y1260" i="1" s="1"/>
  <c r="Y1261" i="1" a="1"/>
  <c r="Y1261" i="1"/>
  <c r="Y1262" i="1" a="1"/>
  <c r="Y1262" i="1"/>
  <c r="Y1263" i="1" a="1"/>
  <c r="Y1263" i="1" s="1"/>
  <c r="Y1264" i="1" a="1"/>
  <c r="Y1264" i="1"/>
  <c r="Y1265" i="1" a="1"/>
  <c r="Y1265" i="1"/>
  <c r="Y1266" i="1" a="1"/>
  <c r="Y1266" i="1"/>
  <c r="Y1267" i="1" a="1"/>
  <c r="Y1267" i="1"/>
  <c r="Y1268" i="1" a="1"/>
  <c r="Y1268" i="1"/>
  <c r="Y1269" i="1" a="1"/>
  <c r="Y1269" i="1"/>
  <c r="Y1270" i="1" a="1"/>
  <c r="Y1270" i="1" s="1"/>
  <c r="Y1271" i="1" a="1"/>
  <c r="Y1271" i="1"/>
  <c r="Y1272" i="1" a="1"/>
  <c r="Y1272" i="1"/>
  <c r="Y1273" i="1" a="1"/>
  <c r="Y1273" i="1"/>
  <c r="Y1274" i="1" a="1"/>
  <c r="Y1274" i="1"/>
  <c r="Y1275" i="1" a="1"/>
  <c r="Y1275" i="1"/>
  <c r="Y1276" i="1" a="1"/>
  <c r="Y1276" i="1"/>
  <c r="Y1277" i="1" a="1"/>
  <c r="Y1277" i="1"/>
  <c r="Y1278" i="1" a="1"/>
  <c r="Y1278" i="1" s="1"/>
  <c r="Y1279" i="1" a="1"/>
  <c r="Y1279" i="1"/>
  <c r="Y1280" i="1" a="1"/>
  <c r="Y1280" i="1"/>
  <c r="Y1281" i="1" a="1"/>
  <c r="Y1281" i="1"/>
  <c r="Y1282" i="1" a="1"/>
  <c r="Y1282" i="1"/>
  <c r="Y1283" i="1" a="1"/>
  <c r="Y1283" i="1"/>
  <c r="Y1284" i="1" a="1"/>
  <c r="Y1284" i="1"/>
  <c r="Y1285" i="1" a="1"/>
  <c r="Y1285" i="1"/>
  <c r="Y1286" i="1" a="1"/>
  <c r="Y1286" i="1" s="1"/>
  <c r="Y1287" i="1" a="1"/>
  <c r="Y1287" i="1"/>
  <c r="Y1288" i="1" a="1"/>
  <c r="Y1288" i="1"/>
  <c r="Y1289" i="1" a="1"/>
  <c r="Y1289" i="1"/>
  <c r="Y1290" i="1" a="1"/>
  <c r="Y1290" i="1"/>
  <c r="Y1291" i="1" a="1"/>
  <c r="Y1291" i="1"/>
  <c r="Y1292" i="1" a="1"/>
  <c r="Y1292" i="1"/>
  <c r="Y1293" i="1" a="1"/>
  <c r="Y1293" i="1"/>
  <c r="Y1294" i="1" a="1"/>
  <c r="Y1294" i="1" s="1"/>
  <c r="Y1295" i="1" a="1"/>
  <c r="Y1295" i="1"/>
  <c r="Y1296" i="1" a="1"/>
  <c r="Y1296" i="1"/>
  <c r="Y1297" i="1" a="1"/>
  <c r="Y1297" i="1"/>
  <c r="Y1298" i="1" a="1"/>
  <c r="Y1298" i="1"/>
  <c r="Y1299" i="1" a="1"/>
  <c r="Y1299" i="1"/>
  <c r="Y1300" i="1" a="1"/>
  <c r="Y1300" i="1"/>
  <c r="Y1301" i="1" a="1"/>
  <c r="Y1301" i="1"/>
  <c r="Y1302" i="1" a="1"/>
  <c r="Y1302" i="1" s="1"/>
  <c r="Y1303" i="1" a="1"/>
  <c r="Y1303" i="1"/>
  <c r="Y1304" i="1" a="1"/>
  <c r="Y1304" i="1"/>
  <c r="Y1305" i="1" a="1"/>
  <c r="Y1305" i="1"/>
  <c r="Y1306" i="1" a="1"/>
  <c r="Y1306" i="1"/>
  <c r="Y1307" i="1" a="1"/>
  <c r="Y1307" i="1"/>
  <c r="Y1308" i="1" a="1"/>
  <c r="Y1308" i="1"/>
  <c r="Y1309" i="1" a="1"/>
  <c r="Y1309" i="1"/>
  <c r="Y1310" i="1" a="1"/>
  <c r="Y1310" i="1" s="1"/>
  <c r="Y1311" i="1" a="1"/>
  <c r="Y1311" i="1"/>
  <c r="Y1312" i="1" a="1"/>
  <c r="Y1312" i="1"/>
  <c r="Y1313" i="1" a="1"/>
  <c r="Y1313" i="1"/>
  <c r="Y1314" i="1" a="1"/>
  <c r="Y1314" i="1"/>
  <c r="Y1315" i="1" a="1"/>
  <c r="Y1315" i="1"/>
  <c r="Y1316" i="1" a="1"/>
  <c r="Y1316" i="1"/>
  <c r="Y1317" i="1" a="1"/>
  <c r="Y1317" i="1"/>
  <c r="Y1318" i="1" a="1"/>
  <c r="Y1318" i="1" s="1"/>
  <c r="Y1319" i="1" a="1"/>
  <c r="Y1319" i="1"/>
  <c r="Y1320" i="1" a="1"/>
  <c r="Y1320" i="1"/>
  <c r="Y1321" i="1" a="1"/>
  <c r="Y1321" i="1"/>
  <c r="Y1322" i="1" a="1"/>
  <c r="Y1322" i="1"/>
  <c r="Y1323" i="1" a="1"/>
  <c r="Y1323" i="1"/>
  <c r="Y1324" i="1" a="1"/>
  <c r="Y1324" i="1"/>
  <c r="Y1325" i="1" a="1"/>
  <c r="Y1325" i="1"/>
  <c r="Y1326" i="1" a="1"/>
  <c r="Y1326" i="1" s="1"/>
  <c r="Y1327" i="1" a="1"/>
  <c r="Y1327" i="1"/>
  <c r="Y1328" i="1" a="1"/>
  <c r="Y1328" i="1"/>
  <c r="Y1329" i="1" a="1"/>
  <c r="Y1329" i="1"/>
  <c r="Y1330" i="1" a="1"/>
  <c r="Y1330" i="1"/>
  <c r="Y1331" i="1" a="1"/>
  <c r="Y1331" i="1"/>
  <c r="Y1332" i="1" a="1"/>
  <c r="Y1332" i="1"/>
  <c r="Y1333" i="1" a="1"/>
  <c r="Y1333" i="1"/>
  <c r="Y1334" i="1" a="1"/>
  <c r="Y1334" i="1" s="1"/>
  <c r="Y1335" i="1" a="1"/>
  <c r="Y1335" i="1"/>
  <c r="Y1336" i="1" a="1"/>
  <c r="Y1336" i="1"/>
  <c r="Y1337" i="1" a="1"/>
  <c r="Y1337" i="1"/>
  <c r="Y1338" i="1" a="1"/>
  <c r="Y1338" i="1"/>
  <c r="Y1339" i="1" a="1"/>
  <c r="Y1339" i="1"/>
  <c r="Y1340" i="1" a="1"/>
  <c r="Y1340" i="1"/>
  <c r="Y1341" i="1" a="1"/>
  <c r="Y1341" i="1"/>
  <c r="Y1342" i="1" a="1"/>
  <c r="Y1342" i="1" s="1"/>
  <c r="Y1343" i="1" a="1"/>
  <c r="Y1343" i="1"/>
  <c r="Y1344" i="1" a="1"/>
  <c r="Y1344" i="1"/>
  <c r="Y1345" i="1" a="1"/>
  <c r="Y1345" i="1"/>
  <c r="Y1346" i="1" a="1"/>
  <c r="Y1346" i="1"/>
  <c r="Y1347" i="1" a="1"/>
  <c r="Y1347" i="1"/>
  <c r="Y1348" i="1" a="1"/>
  <c r="Y1348" i="1"/>
  <c r="Y1349" i="1" a="1"/>
  <c r="Y1349" i="1"/>
  <c r="Y1350" i="1" a="1"/>
  <c r="Y1350" i="1" s="1"/>
  <c r="Y1351" i="1" a="1"/>
  <c r="Y1351" i="1"/>
  <c r="Y1352" i="1" a="1"/>
  <c r="Y1352" i="1"/>
  <c r="Y1353" i="1" a="1"/>
  <c r="Y1353" i="1"/>
  <c r="Y1354" i="1" a="1"/>
  <c r="Y1354" i="1"/>
  <c r="Y1355" i="1" a="1"/>
  <c r="Y1355" i="1"/>
  <c r="Y1356" i="1" a="1"/>
  <c r="Y1356" i="1"/>
  <c r="Y1357" i="1" a="1"/>
  <c r="Y1357" i="1"/>
  <c r="Y1358" i="1" a="1"/>
  <c r="Y1358" i="1" s="1"/>
  <c r="Y1359" i="1" a="1"/>
  <c r="Y1359" i="1"/>
  <c r="Y1360" i="1" a="1"/>
  <c r="Y1360" i="1"/>
  <c r="Y1361" i="1" a="1"/>
  <c r="Y1361" i="1"/>
  <c r="Y1362" i="1" a="1"/>
  <c r="Y1362" i="1"/>
  <c r="Y1363" i="1" a="1"/>
  <c r="Y1363" i="1"/>
  <c r="Y1364" i="1" a="1"/>
  <c r="Y1364" i="1"/>
  <c r="Y1365" i="1" a="1"/>
  <c r="Y1365" i="1"/>
  <c r="Y1366" i="1" a="1"/>
  <c r="Y1366" i="1" s="1"/>
  <c r="Y1367" i="1" a="1"/>
  <c r="Y1367" i="1"/>
  <c r="Y1368" i="1" a="1"/>
  <c r="Y1368" i="1"/>
  <c r="Y1369" i="1" a="1"/>
  <c r="Y1369" i="1"/>
  <c r="Y1370" i="1" a="1"/>
  <c r="Y1370" i="1"/>
  <c r="Y1371" i="1" a="1"/>
  <c r="Y1371" i="1"/>
  <c r="Y1372" i="1" a="1"/>
  <c r="Y1372" i="1"/>
  <c r="Y1373" i="1" a="1"/>
  <c r="Y1373" i="1"/>
  <c r="Y1374" i="1" a="1"/>
  <c r="Y1374" i="1" s="1"/>
  <c r="Y1375" i="1" a="1"/>
  <c r="Y1375" i="1"/>
  <c r="Y1376" i="1" a="1"/>
  <c r="Y1376" i="1"/>
  <c r="Y1377" i="1" a="1"/>
  <c r="Y1377" i="1"/>
  <c r="Y1378" i="1" a="1"/>
  <c r="Y1378" i="1"/>
  <c r="Y1379" i="1" a="1"/>
  <c r="Y1379" i="1"/>
  <c r="Y1380" i="1" a="1"/>
  <c r="Y1380" i="1"/>
  <c r="Y1381" i="1" a="1"/>
  <c r="Y1381" i="1"/>
  <c r="Y1382" i="1" a="1"/>
  <c r="Y1382" i="1" s="1"/>
  <c r="Y1383" i="1" a="1"/>
  <c r="Y1383" i="1"/>
  <c r="Y1384" i="1" a="1"/>
  <c r="Y1384" i="1"/>
  <c r="Y1385" i="1" a="1"/>
  <c r="Y1385" i="1"/>
  <c r="Y1386" i="1" a="1"/>
  <c r="Y1386" i="1"/>
  <c r="Y1387" i="1" a="1"/>
  <c r="Y1387" i="1"/>
  <c r="Y1388" i="1" a="1"/>
  <c r="Y1388" i="1"/>
  <c r="Y1389" i="1" a="1"/>
  <c r="Y1389" i="1"/>
  <c r="Y1390" i="1" a="1"/>
  <c r="Y1390" i="1" s="1"/>
  <c r="Y1391" i="1" a="1"/>
  <c r="Y1391" i="1"/>
  <c r="Y1392" i="1" a="1"/>
  <c r="Y1392" i="1"/>
  <c r="Y1393" i="1" a="1"/>
  <c r="Y1393" i="1"/>
  <c r="Y1394" i="1" a="1"/>
  <c r="Y1394" i="1"/>
  <c r="Y1395" i="1" a="1"/>
  <c r="Y1395" i="1"/>
  <c r="Y1396" i="1" a="1"/>
  <c r="Y1396" i="1"/>
  <c r="Y1397" i="1" a="1"/>
  <c r="Y1397" i="1"/>
  <c r="Y1398" i="1" a="1"/>
  <c r="Y1398" i="1" s="1"/>
  <c r="Y1399" i="1" a="1"/>
  <c r="Y1399" i="1"/>
  <c r="Y1400" i="1" a="1"/>
  <c r="Y1400" i="1"/>
  <c r="Y1401" i="1" a="1"/>
  <c r="Y1401" i="1"/>
  <c r="Y1402" i="1" a="1"/>
  <c r="Y1402" i="1"/>
  <c r="Y1403" i="1" a="1"/>
  <c r="Y1403" i="1"/>
  <c r="Y1404" i="1" a="1"/>
  <c r="Y1404" i="1"/>
  <c r="Y1405" i="1" a="1"/>
  <c r="Y1405" i="1"/>
  <c r="Y1406" i="1" a="1"/>
  <c r="Y1406" i="1" s="1"/>
  <c r="Y1407" i="1" a="1"/>
  <c r="Y1407" i="1"/>
  <c r="Y1408" i="1" a="1"/>
  <c r="Y1408" i="1"/>
  <c r="Y1409" i="1" a="1"/>
  <c r="Y1409" i="1"/>
  <c r="Y1410" i="1" a="1"/>
  <c r="Y1410" i="1"/>
  <c r="Y1411" i="1" a="1"/>
  <c r="Y1411" i="1"/>
  <c r="Y1412" i="1" a="1"/>
  <c r="Y1412" i="1"/>
  <c r="Y1413" i="1" a="1"/>
  <c r="Y1413" i="1"/>
  <c r="Y1414" i="1" a="1"/>
  <c r="Y1414" i="1" s="1"/>
  <c r="Y1415" i="1" a="1"/>
  <c r="Y1415" i="1"/>
  <c r="Y1416" i="1" a="1"/>
  <c r="Y1416" i="1"/>
  <c r="Y1417" i="1" a="1"/>
  <c r="Y1417" i="1"/>
  <c r="Y1418" i="1" a="1"/>
  <c r="Y1418" i="1"/>
  <c r="Y1419" i="1" a="1"/>
  <c r="Y1419" i="1"/>
  <c r="Y1420" i="1" a="1"/>
  <c r="Y1420" i="1"/>
  <c r="Y1421" i="1" a="1"/>
  <c r="Y1421" i="1"/>
  <c r="Y1422" i="1" a="1"/>
  <c r="Y1422" i="1" s="1"/>
  <c r="Y1423" i="1" a="1"/>
  <c r="Y1423" i="1"/>
  <c r="Y1424" i="1" a="1"/>
  <c r="Y1424" i="1"/>
  <c r="Y1425" i="1" a="1"/>
  <c r="Y1425" i="1"/>
  <c r="Y1426" i="1" a="1"/>
  <c r="Y1426" i="1"/>
  <c r="Y1427" i="1" a="1"/>
  <c r="Y1427" i="1"/>
  <c r="Y1428" i="1" a="1"/>
  <c r="Y1428" i="1"/>
  <c r="Y1429" i="1" a="1"/>
  <c r="Y1429" i="1"/>
  <c r="Y1430" i="1" a="1"/>
  <c r="Y1430" i="1" s="1"/>
  <c r="Y1431" i="1" a="1"/>
  <c r="Y1431" i="1"/>
  <c r="Y1432" i="1" a="1"/>
  <c r="Y1432" i="1"/>
  <c r="Y1433" i="1" a="1"/>
  <c r="Y1433" i="1"/>
  <c r="Y1434" i="1" a="1"/>
  <c r="Y1434" i="1"/>
  <c r="Y1435" i="1" a="1"/>
  <c r="Y1435" i="1"/>
  <c r="Y1436" i="1" a="1"/>
  <c r="Y1436" i="1"/>
  <c r="Y1437" i="1" a="1"/>
  <c r="Y1437" i="1"/>
  <c r="Y1438" i="1" a="1"/>
  <c r="Y1438" i="1" s="1"/>
  <c r="Y1439" i="1" a="1"/>
  <c r="Y1439" i="1"/>
  <c r="Y1440" i="1" a="1"/>
  <c r="Y1440" i="1"/>
  <c r="Y1441" i="1" a="1"/>
  <c r="Y1441" i="1"/>
  <c r="Y1442" i="1" a="1"/>
  <c r="Y1442" i="1"/>
  <c r="Y1443" i="1" a="1"/>
  <c r="Y1443" i="1"/>
  <c r="Y1444" i="1" a="1"/>
  <c r="Y1444" i="1"/>
  <c r="Y1445" i="1" a="1"/>
  <c r="Y1445" i="1"/>
  <c r="Y1446" i="1" a="1"/>
  <c r="Y1446" i="1" s="1"/>
  <c r="Y1447" i="1" a="1"/>
  <c r="Y1447" i="1"/>
  <c r="Y1448" i="1" a="1"/>
  <c r="Y1448" i="1"/>
  <c r="Y1449" i="1" a="1"/>
  <c r="Y1449" i="1"/>
  <c r="Y1450" i="1" a="1"/>
  <c r="Y1450" i="1"/>
  <c r="Y1451" i="1" a="1"/>
  <c r="Y1451" i="1"/>
  <c r="Y1452" i="1" a="1"/>
  <c r="Y1452" i="1"/>
  <c r="Y1453" i="1" a="1"/>
  <c r="Y1453" i="1"/>
  <c r="Y1454" i="1" a="1"/>
  <c r="Y1454" i="1" s="1"/>
  <c r="Y1455" i="1" a="1"/>
  <c r="Y1455" i="1"/>
  <c r="Y1456" i="1" a="1"/>
  <c r="Y1456" i="1"/>
  <c r="Y1457" i="1" a="1"/>
  <c r="Y1457" i="1"/>
  <c r="Y1458" i="1" a="1"/>
  <c r="Y1458" i="1"/>
  <c r="Y1459" i="1" a="1"/>
  <c r="Y1459" i="1"/>
  <c r="Y1460" i="1" a="1"/>
  <c r="Y1460" i="1"/>
  <c r="Y1461" i="1" a="1"/>
  <c r="Y1461" i="1"/>
  <c r="Y1462" i="1" a="1"/>
  <c r="Y1462" i="1" s="1"/>
  <c r="Y1463" i="1" a="1"/>
  <c r="Y1463" i="1"/>
  <c r="Y1464" i="1" a="1"/>
  <c r="Y1464" i="1"/>
  <c r="Y1465" i="1" a="1"/>
  <c r="Y1465" i="1"/>
  <c r="Y1466" i="1" a="1"/>
  <c r="Y1466" i="1"/>
  <c r="Y1467" i="1" a="1"/>
  <c r="Y1467" i="1"/>
  <c r="Y1468" i="1" a="1"/>
  <c r="Y1468" i="1"/>
  <c r="Y1469" i="1" a="1"/>
  <c r="Y1469" i="1"/>
  <c r="Y1470" i="1" a="1"/>
  <c r="Y1470" i="1" s="1"/>
  <c r="Y1471" i="1" a="1"/>
  <c r="Y1471" i="1"/>
  <c r="Y1472" i="1" a="1"/>
  <c r="Y1472" i="1"/>
  <c r="Y1473" i="1" a="1"/>
  <c r="Y1473" i="1"/>
  <c r="Y1474" i="1" a="1"/>
  <c r="Y1474" i="1"/>
  <c r="Y1475" i="1" a="1"/>
  <c r="Y1475" i="1"/>
  <c r="Y1476" i="1" a="1"/>
  <c r="Y1476" i="1"/>
  <c r="Y1477" i="1" a="1"/>
  <c r="Y1477" i="1"/>
  <c r="Y1478" i="1" a="1"/>
  <c r="Y1478" i="1" s="1"/>
  <c r="Y1479" i="1" a="1"/>
  <c r="Y1479" i="1"/>
  <c r="Y1480" i="1" a="1"/>
  <c r="Y1480" i="1"/>
  <c r="Y1481" i="1" a="1"/>
  <c r="Y1481" i="1"/>
  <c r="Y1482" i="1" a="1"/>
  <c r="Y1482" i="1"/>
  <c r="Y1483" i="1" a="1"/>
  <c r="Y1483" i="1"/>
  <c r="Y1484" i="1" a="1"/>
  <c r="Y1484" i="1"/>
  <c r="Y1485" i="1" a="1"/>
  <c r="Y1485" i="1"/>
  <c r="Y1486" i="1" a="1"/>
  <c r="Y1486" i="1" s="1"/>
  <c r="Y1487" i="1" a="1"/>
  <c r="Y1487" i="1"/>
  <c r="Y1488" i="1" a="1"/>
  <c r="Y1488" i="1"/>
  <c r="Y1489" i="1" a="1"/>
  <c r="Y1489" i="1"/>
  <c r="Y1490" i="1" a="1"/>
  <c r="Y1490" i="1"/>
  <c r="Y1491" i="1" a="1"/>
  <c r="Y1491" i="1"/>
  <c r="Y1492" i="1" a="1"/>
  <c r="Y1492" i="1"/>
  <c r="Y1493" i="1" a="1"/>
  <c r="Y1493" i="1"/>
  <c r="Y1494" i="1" a="1"/>
  <c r="Y1494" i="1" s="1"/>
  <c r="Y1495" i="1" a="1"/>
  <c r="Y1495" i="1"/>
  <c r="Y1496" i="1" a="1"/>
  <c r="Y1496" i="1"/>
  <c r="Y1497" i="1" a="1"/>
  <c r="Y1497" i="1"/>
  <c r="Y1498" i="1" a="1"/>
  <c r="Y1498" i="1"/>
  <c r="Y1499" i="1" a="1"/>
  <c r="Y1499" i="1"/>
  <c r="Y1500" i="1" a="1"/>
  <c r="Y1500" i="1"/>
  <c r="Y1501" i="1" a="1"/>
  <c r="Y1501" i="1"/>
  <c r="Y2" i="1" a="1"/>
  <c r="Y2" i="1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2" i="1"/>
  <c r="V1496" i="1"/>
  <c r="V1497" i="1"/>
  <c r="V1498" i="1"/>
  <c r="V1499" i="1"/>
  <c r="V1500" i="1"/>
  <c r="V150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2" i="1"/>
  <c r="T1500" i="1"/>
  <c r="T15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<sst xmlns="http://schemas.openxmlformats.org/spreadsheetml/2006/main" count="15027" uniqueCount="2936">
  <si>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</si>
  <si>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</si>
  <si>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</si>
  <si>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</si>
  <si>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</si>
  <si>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</si>
  <si>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</si>
  <si>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</si>
  <si>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</si>
  <si>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</si>
  <si>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</si>
  <si>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</si>
  <si>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</si>
  <si>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</si>
  <si>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</si>
  <si>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</si>
  <si>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</si>
  <si>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</si>
  <si>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</si>
  <si>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</si>
  <si>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</si>
  <si>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</si>
  <si>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</si>
  <si>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</si>
  <si>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</si>
  <si>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</si>
  <si>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</si>
  <si>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</si>
  <si>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</si>
  <si>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</si>
  <si>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</si>
  <si>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</si>
  <si>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</si>
  <si>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</si>
  <si>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</si>
  <si>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</si>
  <si>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</si>
  <si>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</si>
  <si>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</si>
  <si>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</si>
  <si>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</si>
  <si>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</si>
  <si>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</si>
  <si>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</si>
  <si>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</si>
  <si>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</si>
  <si>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</si>
  <si>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</si>
  <si>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</si>
  <si>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</si>
  <si>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</si>
  <si>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</si>
  <si>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</si>
  <si>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</si>
  <si>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</si>
  <si>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</si>
  <si>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</si>
  <si>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</si>
  <si>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</si>
  <si>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None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</si>
  <si>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</si>
  <si>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</si>
  <si>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</si>
  <si>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</si>
  <si>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</si>
  <si>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</si>
  <si>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</si>
  <si>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</si>
  <si>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</si>
  <si>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</si>
  <si>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</si>
  <si>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</si>
  <si>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</si>
  <si>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</si>
  <si>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</si>
  <si>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</si>
  <si>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</si>
  <si>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</si>
  <si>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</si>
  <si>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</si>
  <si>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</si>
  <si>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</si>
  <si>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</si>
  <si>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</si>
  <si>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</si>
  <si>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</si>
  <si>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</si>
  <si>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</si>
  <si>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</si>
  <si>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</si>
  <si>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</si>
  <si>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</si>
  <si>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</si>
  <si>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</si>
  <si>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</si>
  <si>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</si>
  <si>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</si>
  <si>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</si>
  <si>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</si>
  <si>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</si>
  <si>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</si>
  <si>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</si>
  <si>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</si>
  <si>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</si>
  <si>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</si>
  <si>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</si>
  <si>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</si>
  <si>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</si>
  <si>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</si>
  <si>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</si>
  <si>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</si>
  <si>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</si>
  <si>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</si>
  <si>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</si>
  <si>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</si>
  <si>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</si>
  <si>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</si>
  <si>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</si>
  <si>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</si>
  <si>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</si>
  <si>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</si>
  <si>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</si>
  <si>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</si>
  <si>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</si>
  <si>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</si>
  <si>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</si>
  <si>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</si>
  <si>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</si>
  <si>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</si>
  <si>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</si>
  <si>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</si>
  <si>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</si>
  <si>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</si>
  <si>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</si>
  <si>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</si>
  <si>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</si>
  <si>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</si>
  <si>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</si>
  <si>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</si>
  <si>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</si>
  <si>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</si>
  <si>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</si>
  <si>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</si>
  <si>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</si>
  <si>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</si>
  <si>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</si>
  <si>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</si>
  <si>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</si>
  <si>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</si>
  <si>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</si>
  <si>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</si>
  <si>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</si>
  <si>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</si>
  <si>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</si>
  <si>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</si>
  <si>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</si>
  <si>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</si>
  <si>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</si>
  <si>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</si>
  <si>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</si>
  <si>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</si>
  <si>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</si>
  <si>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</si>
  <si>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</si>
  <si>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</si>
  <si>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</si>
  <si>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</si>
  <si>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</si>
  <si>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</si>
  <si>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</si>
  <si>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</si>
  <si>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</si>
  <si>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</si>
  <si>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</si>
  <si>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</si>
  <si>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</si>
  <si>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</si>
  <si>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</si>
  <si>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</si>
  <si>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</si>
  <si>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</si>
  <si>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</si>
  <si>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</si>
  <si>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</si>
  <si>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</si>
  <si>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</si>
  <si>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</si>
  <si>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</si>
  <si>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</si>
  <si>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</si>
  <si>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</si>
  <si>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</si>
  <si>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</si>
  <si>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</si>
  <si>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</si>
  <si>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</si>
  <si>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</si>
  <si>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</si>
  <si>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</si>
  <si>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</si>
  <si>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</si>
  <si>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</si>
  <si>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</si>
  <si>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</si>
  <si>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</si>
  <si>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</si>
  <si>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</si>
  <si>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</si>
  <si>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</si>
  <si>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</si>
  <si>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</si>
  <si>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</si>
  <si>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</si>
  <si>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</si>
  <si>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</si>
  <si>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</si>
  <si>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</si>
  <si>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</si>
  <si>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</si>
  <si>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</si>
  <si>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</si>
  <si>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</si>
  <si>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</si>
  <si>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</si>
  <si>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</si>
  <si>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</si>
  <si>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</si>
  <si>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</si>
  <si>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</si>
  <si>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</si>
  <si>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</si>
  <si>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</si>
  <si>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</si>
  <si>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</si>
  <si>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</si>
  <si>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</si>
  <si>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</si>
  <si>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</si>
  <si>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</si>
  <si>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</si>
  <si>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</si>
  <si>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</si>
  <si>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</si>
  <si>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</si>
  <si>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</si>
  <si>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</si>
  <si>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</si>
  <si>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</si>
  <si>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</si>
  <si>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</si>
  <si>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</si>
  <si>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</si>
  <si>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</si>
  <si>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</si>
  <si>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</si>
  <si>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</si>
  <si>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</si>
  <si>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</si>
  <si>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</si>
  <si>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</si>
  <si>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</si>
  <si>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</si>
  <si>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</si>
  <si>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</si>
  <si>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</si>
  <si>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</si>
  <si>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</si>
  <si>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</si>
  <si>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</si>
  <si>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</si>
  <si>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</si>
  <si>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</si>
  <si>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</si>
  <si>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</si>
  <si>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</si>
  <si>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</si>
  <si>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</si>
  <si>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</si>
  <si>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</si>
  <si>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</si>
  <si>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</si>
  <si>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</si>
  <si>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</si>
  <si>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</si>
  <si>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</si>
  <si>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</si>
  <si>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</si>
  <si>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</si>
  <si>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</si>
  <si>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</si>
  <si>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</si>
  <si>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</si>
  <si>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</si>
  <si>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</si>
  <si>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</si>
  <si>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</si>
  <si>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</si>
  <si>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</si>
  <si>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</si>
  <si>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</si>
  <si>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</si>
  <si>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</si>
  <si>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</si>
  <si>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</si>
  <si>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</si>
  <si>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</si>
  <si>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</si>
  <si>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</si>
  <si>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</si>
  <si>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</si>
  <si>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</si>
  <si>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</si>
  <si>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</si>
  <si>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</si>
  <si>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</si>
  <si>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</si>
  <si>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</si>
  <si>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</si>
  <si>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</si>
  <si>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</si>
  <si>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</si>
  <si>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</si>
  <si>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</si>
  <si>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</si>
  <si>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</si>
  <si>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</si>
  <si>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</si>
  <si>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</si>
  <si>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</si>
  <si>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</si>
  <si>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</si>
  <si>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</si>
  <si>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</si>
  <si>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</si>
  <si>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</si>
  <si>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</si>
  <si>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</si>
  <si>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</si>
  <si>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</si>
  <si>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</si>
  <si>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</si>
  <si>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</si>
  <si>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</si>
  <si>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</si>
  <si>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</si>
  <si>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</si>
  <si>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</si>
  <si>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</si>
  <si>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</si>
  <si>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</si>
  <si>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</si>
  <si>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</si>
  <si>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</si>
  <si>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</si>
  <si>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</si>
  <si>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</si>
  <si>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</si>
  <si>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</si>
  <si>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</si>
  <si>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</si>
  <si>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</si>
  <si>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</si>
  <si>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</si>
  <si>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</si>
  <si>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</si>
  <si>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</si>
  <si>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</si>
  <si>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</si>
  <si>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</si>
  <si>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</si>
  <si>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</si>
  <si>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</si>
  <si>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</si>
  <si>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</si>
  <si>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</si>
  <si>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</si>
  <si>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</si>
  <si>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</si>
  <si>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</si>
  <si>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</si>
  <si>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</si>
  <si>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</si>
  <si>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</si>
  <si>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</si>
  <si>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</si>
  <si>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</si>
  <si>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</si>
  <si>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</si>
  <si>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</si>
  <si>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</si>
  <si>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</si>
  <si>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</si>
  <si>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</si>
  <si>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</si>
  <si>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</si>
  <si>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</si>
  <si>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</si>
  <si>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</si>
  <si>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</si>
  <si>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</si>
  <si>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</si>
  <si>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</si>
  <si>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</si>
  <si>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</si>
  <si>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</si>
  <si>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</si>
  <si>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</si>
  <si>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</si>
  <si>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</si>
  <si>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</si>
  <si>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</si>
  <si>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</si>
  <si>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</si>
  <si>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</si>
  <si>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</si>
  <si>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</si>
  <si>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</si>
  <si>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</si>
  <si>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</si>
  <si>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</si>
  <si>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</si>
  <si>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</si>
  <si>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</si>
  <si>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</si>
  <si>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</si>
  <si>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</si>
  <si>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</si>
  <si>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</si>
  <si>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</si>
  <si>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</si>
  <si>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</si>
  <si>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</si>
  <si>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</si>
  <si>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</si>
  <si>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</si>
  <si>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</si>
  <si>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</si>
  <si>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</si>
  <si>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</si>
  <si>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</si>
  <si>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</si>
  <si>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</si>
  <si>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</si>
  <si>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</si>
  <si>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</si>
  <si>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</si>
  <si>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</si>
  <si>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</si>
  <si>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</si>
  <si>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</si>
  <si>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</si>
  <si>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</si>
  <si>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</si>
  <si>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</si>
  <si>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</si>
  <si>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</si>
  <si>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</si>
  <si>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</si>
  <si>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</si>
  <si>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</si>
  <si>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</si>
  <si>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</si>
  <si>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</si>
  <si>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</si>
  <si>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</si>
  <si>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</si>
  <si>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</si>
  <si>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</si>
  <si>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</si>
  <si>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</si>
  <si>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</si>
  <si>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</si>
  <si>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</si>
  <si>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</si>
  <si>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</si>
  <si>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</si>
  <si>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</si>
  <si>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</si>
  <si>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</si>
  <si>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</si>
  <si>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</si>
  <si>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</si>
  <si>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</si>
  <si>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</si>
  <si>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</si>
  <si>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</si>
  <si>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</si>
  <si>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</si>
  <si>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</si>
  <si>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</si>
  <si>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</si>
  <si>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</si>
  <si>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</si>
  <si>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</si>
  <si>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</si>
  <si>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</si>
  <si>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</si>
  <si>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</si>
  <si>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</si>
  <si>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</si>
  <si>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</si>
  <si>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</si>
  <si>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</si>
  <si>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</si>
  <si>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</si>
  <si>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</si>
  <si>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</si>
  <si>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</si>
  <si>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</si>
  <si>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</si>
  <si>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</si>
  <si>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</si>
  <si>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</si>
  <si>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</si>
  <si>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</si>
  <si>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</si>
  <si>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</si>
  <si>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</si>
  <si>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</si>
  <si>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</si>
  <si>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</si>
  <si>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</si>
  <si>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</si>
  <si>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</si>
  <si>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</si>
  <si>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</si>
  <si>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</si>
  <si>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</si>
  <si>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</si>
  <si>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</si>
  <si>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</si>
  <si>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</si>
  <si>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</si>
  <si>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</si>
  <si>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</si>
  <si>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</si>
  <si>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</si>
  <si>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</si>
  <si>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</si>
  <si>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</si>
  <si>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</si>
  <si>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</si>
  <si>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</si>
  <si>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</si>
  <si>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</si>
  <si>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</si>
  <si>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</si>
  <si>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</si>
  <si>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</si>
  <si>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</si>
  <si>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</si>
  <si>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</si>
  <si>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</si>
  <si>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</si>
  <si>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</si>
  <si>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</si>
  <si>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</si>
  <si>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</si>
  <si>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</si>
  <si>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</si>
  <si>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</si>
  <si>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</si>
  <si>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</si>
  <si>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</si>
  <si>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</si>
  <si>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</si>
  <si>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</si>
  <si>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</si>
  <si>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</si>
  <si>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</si>
  <si>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</si>
  <si>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</si>
  <si>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</si>
  <si>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</si>
  <si>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</si>
  <si>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</si>
  <si>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</si>
  <si>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</si>
  <si>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</si>
  <si>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</si>
  <si>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</si>
  <si>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</si>
  <si>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</si>
  <si>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</si>
  <si>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</si>
  <si>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</si>
  <si>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</si>
  <si>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</si>
  <si>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</si>
  <si>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</si>
  <si>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</si>
  <si>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</si>
  <si>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</si>
  <si>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</si>
  <si>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</si>
  <si>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</si>
  <si>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</si>
  <si>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</si>
  <si>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</si>
  <si>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</si>
  <si>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</si>
  <si>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</si>
  <si>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</si>
  <si>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</si>
  <si>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</si>
  <si>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</si>
  <si>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</si>
  <si>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</si>
  <si>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</si>
  <si>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</si>
  <si>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</si>
  <si>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</si>
  <si>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</si>
  <si>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</si>
  <si>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</si>
  <si>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</si>
  <si>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</si>
  <si>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</si>
  <si>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</si>
  <si>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</si>
  <si>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</si>
  <si>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</si>
  <si>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</si>
  <si>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</si>
  <si>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</si>
  <si>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</si>
  <si>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</si>
  <si>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</si>
  <si>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</si>
  <si>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</si>
  <si>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</si>
  <si>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</si>
  <si>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</si>
  <si>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</si>
  <si>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</si>
  <si>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</si>
  <si>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</si>
  <si>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</si>
  <si>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</si>
  <si>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</si>
  <si>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</si>
  <si>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</si>
  <si>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</si>
  <si>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</si>
  <si>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</si>
  <si>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</si>
  <si>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</si>
  <si>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</si>
  <si>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</si>
  <si>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</si>
  <si>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</si>
  <si>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</si>
  <si>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</si>
  <si>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</si>
  <si>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</si>
  <si>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</si>
  <si>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</si>
  <si>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</si>
  <si>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</si>
  <si>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</si>
  <si>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</si>
  <si>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</si>
  <si>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</si>
  <si>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</si>
  <si>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</si>
  <si>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</si>
  <si>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</si>
  <si>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</si>
  <si>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</si>
  <si>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</si>
  <si>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</si>
  <si>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</si>
  <si>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</si>
  <si>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</si>
  <si>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</si>
  <si>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</si>
  <si>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</si>
  <si>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</si>
  <si>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</si>
  <si>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</si>
  <si>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</si>
  <si>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</si>
  <si>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</si>
  <si>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</si>
  <si>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</si>
  <si>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</si>
  <si>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</si>
  <si>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</si>
  <si>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</si>
  <si>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</si>
  <si>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</si>
  <si>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</si>
  <si>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</si>
  <si>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</si>
  <si>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</si>
  <si>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</si>
  <si>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</si>
  <si>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</si>
  <si>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</si>
  <si>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</si>
  <si>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</si>
  <si>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</si>
  <si>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</si>
  <si>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</si>
  <si>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</si>
  <si>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</si>
  <si>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</si>
  <si>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</si>
  <si>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</si>
  <si>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</si>
  <si>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</si>
  <si>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</si>
  <si>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</si>
  <si>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</si>
  <si>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</si>
  <si>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</si>
  <si>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</si>
  <si>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</si>
  <si>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</si>
  <si>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</si>
  <si>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</si>
  <si>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</si>
  <si>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</si>
  <si>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</si>
  <si>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</si>
  <si>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</si>
  <si>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</si>
  <si>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</si>
  <si>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</si>
  <si>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</si>
  <si>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</si>
  <si>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</si>
  <si>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</si>
  <si>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</si>
  <si>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</si>
  <si>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</si>
  <si>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</si>
  <si>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</si>
  <si>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</si>
  <si>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</si>
  <si>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</si>
  <si>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</si>
  <si>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</si>
  <si>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</si>
  <si>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</si>
  <si>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</si>
  <si>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</si>
  <si>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</si>
  <si>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</si>
  <si>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</si>
  <si>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</si>
  <si>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</si>
  <si>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</si>
  <si>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</si>
  <si>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</si>
  <si>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</si>
  <si>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</si>
  <si>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</si>
  <si>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</si>
  <si>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</si>
  <si>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</si>
  <si>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</si>
  <si>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</si>
  <si>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</si>
  <si>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</si>
  <si>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</si>
  <si>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</si>
  <si>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</si>
  <si>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</si>
  <si>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</si>
  <si>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</si>
  <si>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</si>
  <si>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</si>
  <si>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</si>
  <si>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</si>
  <si>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</si>
  <si>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</si>
  <si>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</si>
  <si>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</si>
  <si>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</si>
  <si>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</si>
  <si>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</si>
  <si>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</si>
  <si>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</si>
  <si>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</si>
  <si>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</si>
  <si>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</si>
  <si>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</si>
  <si>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</si>
  <si>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</si>
  <si>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</si>
  <si>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</si>
  <si>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</si>
  <si>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</si>
  <si>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</si>
  <si>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</si>
  <si>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</si>
  <si>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</si>
  <si>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</si>
  <si>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</si>
  <si>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</si>
  <si>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</si>
  <si>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</si>
  <si>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</si>
  <si>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</si>
  <si>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</si>
  <si>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</si>
  <si>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</si>
  <si>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</si>
  <si>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</si>
  <si>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</si>
  <si>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</si>
  <si>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</si>
  <si>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</si>
  <si>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</si>
  <si>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</si>
  <si>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</si>
  <si>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</si>
  <si>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</si>
  <si>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</si>
  <si>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</si>
  <si>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</si>
  <si>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</si>
  <si>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</si>
  <si>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</si>
  <si>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</si>
  <si>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</si>
  <si>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</si>
  <si>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</si>
  <si>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</si>
  <si>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</si>
  <si>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</si>
  <si>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</si>
  <si>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</si>
  <si>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</si>
  <si>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</si>
  <si>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</si>
  <si>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</si>
  <si>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</si>
  <si>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</si>
  <si>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</si>
  <si>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</si>
  <si>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</si>
  <si>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</si>
  <si>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</si>
  <si>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</si>
  <si>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</si>
  <si>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</si>
  <si>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</si>
  <si>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</si>
  <si>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</si>
  <si>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</si>
  <si>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</si>
  <si>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</si>
  <si>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</si>
  <si>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</si>
  <si>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</si>
  <si>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</si>
  <si>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</si>
  <si>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</si>
  <si>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</si>
  <si>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</si>
  <si>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</si>
  <si>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</si>
  <si>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</si>
  <si>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</si>
  <si>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</si>
  <si>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</si>
  <si>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</si>
  <si>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</si>
  <si>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</si>
  <si>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</si>
  <si>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</si>
  <si>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</si>
  <si>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</si>
  <si>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</si>
  <si>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</si>
  <si>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</si>
  <si>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</si>
  <si>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</si>
  <si>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</si>
  <si>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</si>
  <si>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</si>
  <si>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</si>
  <si>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</si>
  <si>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</si>
  <si>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</si>
  <si>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</si>
  <si>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</si>
  <si>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</si>
  <si>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</si>
  <si>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</si>
  <si>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</si>
  <si>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</si>
  <si>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</si>
  <si>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</si>
  <si>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</si>
  <si>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</si>
  <si>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</si>
  <si>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</si>
  <si>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</si>
  <si>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</si>
  <si>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</si>
  <si>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</si>
  <si>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</si>
  <si>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</si>
  <si>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</si>
  <si>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</si>
  <si>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</si>
  <si>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</si>
  <si>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</si>
  <si>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</si>
  <si>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</si>
  <si>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</si>
  <si>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</si>
  <si>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</si>
  <si>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</si>
  <si>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</si>
  <si>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</si>
  <si>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</si>
  <si>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</si>
  <si>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</si>
  <si>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</si>
  <si>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</si>
  <si>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</si>
  <si>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</si>
  <si>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</si>
  <si>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</si>
  <si>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</si>
  <si>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</si>
  <si>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</si>
  <si>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</si>
  <si>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</si>
  <si>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</si>
  <si>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</si>
  <si>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</si>
  <si>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</si>
  <si>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</si>
  <si>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</si>
  <si>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</si>
  <si>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</si>
  <si>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</si>
  <si>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</si>
  <si>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</si>
  <si>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</si>
  <si>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</si>
  <si>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</si>
  <si>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</si>
  <si>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</si>
  <si>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</si>
  <si>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</si>
  <si>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</si>
  <si>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</si>
  <si>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</si>
  <si>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</si>
  <si>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</si>
  <si>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</si>
  <si>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</si>
  <si>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</si>
  <si>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</si>
  <si>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</si>
  <si>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</si>
  <si>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</si>
  <si>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</si>
  <si>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</si>
  <si>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</si>
  <si>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</si>
  <si>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</si>
  <si>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</si>
  <si>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</si>
  <si>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</si>
  <si>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</si>
  <si>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</si>
  <si>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</si>
  <si>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</si>
  <si>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</si>
  <si>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</si>
  <si>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</si>
  <si>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</si>
  <si>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</si>
  <si>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</si>
  <si>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</si>
  <si>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</si>
  <si>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</si>
  <si>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</si>
  <si>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</si>
  <si>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</si>
  <si>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</si>
  <si>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</si>
  <si>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</si>
  <si>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</si>
  <si>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</si>
  <si>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</si>
  <si>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</si>
  <si>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</si>
  <si>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</si>
  <si>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</si>
  <si>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</si>
  <si>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</si>
  <si>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</si>
  <si>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</si>
  <si>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</si>
  <si>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</si>
  <si>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</si>
  <si>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</si>
  <si>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</si>
  <si>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</si>
  <si>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</si>
  <si>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</si>
  <si>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</si>
  <si>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</si>
  <si>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</si>
  <si>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</si>
  <si>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</si>
  <si>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</si>
  <si>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</si>
  <si>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</si>
  <si>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</si>
  <si>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</si>
  <si>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</si>
  <si>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</si>
  <si>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</si>
  <si>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</si>
  <si>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</si>
  <si>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</si>
  <si>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</si>
  <si>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</si>
  <si>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</si>
  <si>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</si>
  <si>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</si>
  <si>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</si>
  <si>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</si>
  <si>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</si>
  <si>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</si>
  <si>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</si>
  <si>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</si>
  <si>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</si>
  <si>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</si>
  <si>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</si>
  <si>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</si>
  <si>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</si>
  <si>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</si>
  <si>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</si>
  <si>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</si>
  <si>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</si>
  <si>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</si>
  <si>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</si>
  <si>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</si>
  <si>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</si>
  <si>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</si>
  <si>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</si>
  <si>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</si>
  <si>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</si>
  <si>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</si>
  <si>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</si>
  <si>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</si>
  <si>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</si>
  <si>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</si>
  <si>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</si>
  <si>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</si>
  <si>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</si>
  <si>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</si>
  <si>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</si>
  <si>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</si>
  <si>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</si>
  <si>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</si>
  <si>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</si>
  <si>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</si>
  <si>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</si>
  <si>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</si>
  <si>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</si>
  <si>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</si>
  <si>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</si>
  <si>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</si>
  <si>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</si>
  <si>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</si>
  <si>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</si>
  <si>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</si>
  <si>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</si>
  <si>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</si>
  <si>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</si>
  <si>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</si>
  <si>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</si>
  <si>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</si>
  <si>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</si>
  <si>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</si>
  <si>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</si>
  <si>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</si>
  <si>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</si>
  <si>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</si>
  <si>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</si>
  <si>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</si>
  <si>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</si>
  <si>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</si>
  <si>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</si>
  <si>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</si>
  <si>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</si>
  <si>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</si>
  <si>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</si>
  <si>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</si>
  <si>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</si>
  <si>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</si>
  <si>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</si>
  <si>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</si>
  <si>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</si>
  <si>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</si>
  <si>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</si>
  <si>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</si>
  <si>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</si>
  <si>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</si>
  <si>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</si>
  <si>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</si>
  <si>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</si>
  <si>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</si>
  <si>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</si>
  <si>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</si>
  <si>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</si>
  <si>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</si>
  <si>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</si>
  <si>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</si>
  <si>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</si>
  <si>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</si>
  <si>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</si>
  <si>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</si>
  <si>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</si>
  <si>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</si>
  <si>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</si>
  <si>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</si>
  <si>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</si>
  <si>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</si>
  <si>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</si>
  <si>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</si>
  <si>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</si>
  <si>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</si>
  <si>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</si>
  <si>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</si>
  <si>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</si>
  <si>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</si>
  <si>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</si>
  <si>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</si>
  <si>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</si>
  <si>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</si>
  <si>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</si>
  <si>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</si>
  <si>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</si>
  <si>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</si>
  <si>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</si>
  <si>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</si>
  <si>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</si>
  <si>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</si>
  <si>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</si>
  <si>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</si>
  <si>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</si>
  <si>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</si>
  <si>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</si>
  <si>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</si>
  <si>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</si>
  <si>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</si>
  <si>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</si>
  <si>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</si>
  <si>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</si>
  <si>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</si>
  <si>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</si>
  <si>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</si>
  <si>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</si>
  <si>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</si>
  <si>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</si>
  <si>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</si>
  <si>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</si>
  <si>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</si>
  <si>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</si>
  <si>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</si>
  <si>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</si>
  <si>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</si>
  <si>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</si>
  <si>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</si>
  <si>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</si>
  <si>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</si>
  <si>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</si>
  <si>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</si>
  <si>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</si>
  <si>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</si>
  <si>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</si>
  <si>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</si>
  <si>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</si>
  <si>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</si>
  <si>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</si>
  <si>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</si>
  <si>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</si>
  <si>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</si>
  <si>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</si>
  <si>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</si>
  <si>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</si>
  <si>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</si>
  <si>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</si>
  <si>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</si>
  <si>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</si>
  <si>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</si>
  <si>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</si>
  <si>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</si>
  <si>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</si>
  <si>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</si>
  <si>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</si>
  <si>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</si>
  <si>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</si>
  <si>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</si>
  <si>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</si>
  <si>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</si>
  <si>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</si>
  <si>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</si>
  <si>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</si>
  <si>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</si>
  <si>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</si>
  <si>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</si>
  <si>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</si>
  <si>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</si>
  <si>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</si>
  <si>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</si>
  <si>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</si>
  <si>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</si>
  <si>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</si>
  <si>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</si>
  <si>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</si>
  <si>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</si>
  <si>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</si>
  <si>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</si>
  <si>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</si>
  <si>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</si>
  <si>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</si>
  <si>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</si>
  <si>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</si>
  <si>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</si>
  <si>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</si>
  <si>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</si>
  <si>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</si>
  <si>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</si>
  <si>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</si>
  <si>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</si>
  <si>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</si>
  <si>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</si>
  <si>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</si>
  <si>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</si>
  <si>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</si>
  <si>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</si>
  <si>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</si>
  <si>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</si>
  <si>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</si>
  <si>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</si>
  <si>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</si>
  <si>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</si>
  <si>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</si>
  <si>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</si>
  <si>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</si>
  <si>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</si>
  <si>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</si>
  <si>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</si>
  <si>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</si>
  <si>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</si>
  <si>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</si>
  <si>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</si>
  <si>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</si>
  <si>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</si>
  <si>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</si>
  <si>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</si>
  <si>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</si>
  <si>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</si>
  <si>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</si>
  <si>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</si>
  <si>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</si>
  <si>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</si>
  <si>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</si>
  <si>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</si>
  <si>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</si>
  <si>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</si>
  <si>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</si>
  <si>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</si>
  <si>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</si>
  <si>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</si>
  <si>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</si>
  <si>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</si>
  <si>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</si>
  <si>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</si>
  <si>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</si>
  <si>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</si>
  <si>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</si>
  <si>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</si>
  <si>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</si>
  <si>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</si>
  <si>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</si>
  <si>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</si>
  <si>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</si>
  <si>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</si>
  <si>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</si>
  <si>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</si>
  <si>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</si>
  <si>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</si>
  <si>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</si>
  <si>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</si>
  <si>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</si>
  <si>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</si>
  <si>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</si>
  <si>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</si>
  <si>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</si>
  <si>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</si>
  <si>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</si>
  <si>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</si>
  <si>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</si>
  <si>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</si>
  <si>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</si>
  <si>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</si>
  <si>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</si>
  <si>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</si>
  <si>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</si>
  <si>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</si>
  <si>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</si>
  <si>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</si>
  <si>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</si>
  <si>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</si>
  <si>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</si>
  <si>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</si>
  <si>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</si>
  <si>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</si>
  <si>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</si>
  <si>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</si>
  <si>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</si>
  <si>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</si>
  <si>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</si>
  <si>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</si>
  <si>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</si>
  <si>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</si>
  <si>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</si>
  <si>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</si>
  <si>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</si>
  <si>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</si>
  <si>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</si>
  <si>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</si>
  <si>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</si>
  <si>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</si>
  <si>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</si>
  <si>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</si>
  <si>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</si>
  <si>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</si>
  <si>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</si>
  <si>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</si>
  <si>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</si>
  <si>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</si>
  <si>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</si>
  <si>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</si>
  <si>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</si>
  <si>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</si>
  <si>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</si>
  <si>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</si>
  <si>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</si>
  <si>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</si>
  <si>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</si>
  <si>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</si>
  <si>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</si>
  <si>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</si>
  <si>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</si>
  <si>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</si>
  <si>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</si>
  <si>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</si>
  <si>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</si>
  <si>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</si>
  <si>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</si>
  <si>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</si>
  <si>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</si>
  <si>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</si>
  <si>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</si>
  <si>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</si>
  <si>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</si>
  <si>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</si>
  <si>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</si>
  <si>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</si>
  <si>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</si>
  <si>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</si>
  <si>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</si>
  <si>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</si>
  <si>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</si>
  <si>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</si>
  <si>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</si>
  <si>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</si>
  <si>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</si>
  <si>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</si>
  <si>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</si>
  <si>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</si>
  <si>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</si>
  <si>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</si>
  <si>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</si>
  <si>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</si>
  <si>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</si>
  <si>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</si>
  <si>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</si>
  <si>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</si>
  <si>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</si>
  <si>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</si>
  <si>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</si>
  <si>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</si>
  <si>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</si>
  <si>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</si>
  <si>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</si>
  <si>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</si>
  <si>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</si>
  <si>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</si>
  <si>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</si>
  <si>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</si>
  <si>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</si>
  <si>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</si>
  <si>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</si>
  <si>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</si>
  <si>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</si>
  <si>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</si>
  <si>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</si>
  <si>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</si>
  <si>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</si>
  <si>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</si>
  <si>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</si>
  <si>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</si>
  <si>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</si>
  <si>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</si>
  <si>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</si>
  <si>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</si>
  <si>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</si>
  <si>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</si>
  <si>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</si>
  <si>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</si>
  <si>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</si>
  <si>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</si>
  <si>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</si>
  <si>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</si>
  <si>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</si>
  <si>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</si>
  <si>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</si>
  <si>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</si>
  <si>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</si>
  <si>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</si>
  <si>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</si>
  <si>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</si>
  <si>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</si>
  <si>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</si>
  <si>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</si>
  <si>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</si>
  <si>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</si>
  <si>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</si>
  <si>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</si>
  <si>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</si>
  <si>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</si>
  <si>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</si>
  <si>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</si>
  <si>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</si>
  <si>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</si>
  <si>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</si>
  <si>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</si>
  <si>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</si>
  <si>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</si>
  <si>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</si>
  <si>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</si>
  <si>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</si>
  <si>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</si>
  <si>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</si>
  <si>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</si>
  <si>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</si>
  <si>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</si>
  <si>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</si>
  <si>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</si>
  <si>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</si>
  <si>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</si>
  <si>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</si>
  <si>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</si>
  <si>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</si>
  <si>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</si>
  <si>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</si>
  <si>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</si>
  <si>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</si>
  <si>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</si>
  <si>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</si>
  <si>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</si>
  <si>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</si>
  <si>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</si>
  <si>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</si>
  <si>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</si>
  <si>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</si>
  <si>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</si>
  <si>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</si>
  <si>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</si>
  <si>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</si>
  <si>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</si>
  <si>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</si>
  <si>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</si>
  <si>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</si>
  <si>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</si>
  <si>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</si>
  <si>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</si>
  <si>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</si>
  <si>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</si>
  <si>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</si>
  <si>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</si>
  <si>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</si>
  <si>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</si>
  <si>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</si>
  <si>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</si>
  <si>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</si>
  <si>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</si>
  <si>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</si>
  <si>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</si>
  <si>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</si>
  <si>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</si>
  <si>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</si>
  <si>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</si>
  <si>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</si>
  <si>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</si>
  <si>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</si>
  <si>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</si>
  <si>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</si>
  <si>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</si>
  <si>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</si>
  <si>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</si>
  <si>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</si>
  <si>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</si>
  <si>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</si>
  <si>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</si>
  <si>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</si>
  <si>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</si>
  <si>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</si>
  <si>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</si>
  <si>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</si>
  <si>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</si>
  <si>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</si>
  <si>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</si>
  <si>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</si>
  <si>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</si>
  <si>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</si>
  <si>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</si>
  <si>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</si>
  <si>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</si>
  <si>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</si>
  <si>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</si>
  <si>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</si>
  <si>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</si>
  <si>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</si>
  <si>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</si>
  <si>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</si>
  <si>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</si>
  <si>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</si>
  <si>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</si>
  <si>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</si>
  <si>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</si>
  <si>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</si>
  <si>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</si>
  <si>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</si>
  <si>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</si>
  <si>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</si>
  <si>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</si>
  <si>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</si>
  <si>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</si>
  <si>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</si>
  <si>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</si>
  <si>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</si>
  <si>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</si>
  <si>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</si>
  <si>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</si>
  <si>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</si>
  <si>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</si>
  <si>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</si>
  <si>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</si>
  <si>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</si>
  <si>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</si>
  <si>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</si>
  <si>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</si>
  <si>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</si>
  <si>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</si>
  <si>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</si>
  <si>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</si>
  <si>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</si>
  <si>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</si>
  <si>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</si>
  <si>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</si>
  <si>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</si>
  <si>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</si>
  <si>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</si>
  <si>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</si>
  <si>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</si>
  <si>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</si>
  <si>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</si>
  <si>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</si>
  <si>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</si>
  <si>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</si>
  <si>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</si>
  <si>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</si>
  <si>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</si>
  <si>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</si>
  <si>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</si>
  <si>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</si>
  <si>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</si>
  <si>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</si>
  <si>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</si>
  <si>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</si>
  <si>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</si>
  <si>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</si>
  <si>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</si>
  <si>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</si>
  <si>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</si>
  <si>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</si>
  <si>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</si>
  <si>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</si>
  <si>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</si>
  <si>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</si>
  <si>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</si>
  <si>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</si>
  <si>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</si>
  <si>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</si>
  <si>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</si>
  <si>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</si>
  <si>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</si>
  <si>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</si>
  <si>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</si>
  <si>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</si>
  <si>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</si>
  <si>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</si>
  <si>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</si>
  <si>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</si>
  <si>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</si>
  <si>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</si>
  <si>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</si>
  <si>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</si>
  <si>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</si>
  <si>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</si>
  <si>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</si>
  <si>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</si>
  <si>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</si>
  <si>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</si>
  <si>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</si>
  <si>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</si>
  <si>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</si>
  <si>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</si>
  <si>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</si>
  <si>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</si>
  <si>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</si>
  <si>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</si>
  <si>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</si>
  <si>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</si>
  <si>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</si>
  <si>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</si>
  <si>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</si>
  <si>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</si>
  <si>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</si>
  <si>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</si>
  <si>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</si>
  <si>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</si>
  <si>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</si>
  <si>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</si>
  <si>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</si>
  <si>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</si>
  <si>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</si>
  <si>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</si>
  <si>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</si>
  <si>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</si>
  <si>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</si>
  <si>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</si>
  <si>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</si>
  <si>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</si>
  <si>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</si>
  <si>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</si>
  <si>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</si>
  <si>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</si>
  <si>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</si>
  <si>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</si>
  <si>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</si>
  <si>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</si>
  <si>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</si>
  <si>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</si>
  <si>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</si>
  <si>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</si>
  <si>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</si>
  <si>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</si>
  <si>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</si>
  <si>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</si>
  <si>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</si>
  <si>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</si>
  <si>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</si>
  <si>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</si>
  <si>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</si>
  <si>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</si>
  <si>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</si>
  <si>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</si>
  <si>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</si>
  <si>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</si>
  <si>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</si>
  <si>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</si>
  <si>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</si>
  <si>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</si>
  <si>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</si>
  <si>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</si>
  <si>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</si>
  <si>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</si>
  <si>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</si>
  <si>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</si>
  <si>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</si>
  <si>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</si>
  <si>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</si>
  <si>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</si>
  <si>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</si>
  <si>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</si>
  <si>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</si>
  <si>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</si>
  <si>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</si>
  <si>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</si>
  <si>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</si>
  <si>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</si>
  <si>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</si>
  <si>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</si>
  <si>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</si>
  <si>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</si>
  <si>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</si>
  <si>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</si>
  <si>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</si>
  <si>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</si>
  <si>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</si>
  <si>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</si>
  <si>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</si>
  <si>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</si>
  <si>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</si>
  <si>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</si>
  <si>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</si>
  <si>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</si>
  <si>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</si>
  <si>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</si>
  <si>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</si>
  <si>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</si>
  <si>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</si>
  <si>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</si>
  <si>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</si>
  <si>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</si>
  <si>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</si>
  <si>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</si>
  <si>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</si>
  <si>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</si>
  <si>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</si>
  <si>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</si>
  <si>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</si>
  <si>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</si>
  <si>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</si>
  <si>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</si>
  <si>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</si>
  <si>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</si>
  <si>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</si>
  <si>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</si>
  <si>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</si>
  <si>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</si>
  <si>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</si>
  <si>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</si>
  <si>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</si>
  <si>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</si>
  <si>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</si>
  <si>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</si>
  <si>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</si>
  <si>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</si>
  <si>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</si>
  <si>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</si>
  <si>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</si>
  <si>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</si>
  <si>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</si>
  <si>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</si>
  <si>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</si>
  <si>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</si>
  <si>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</si>
  <si>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</si>
  <si>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</si>
  <si>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</si>
  <si>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</si>
  <si>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</si>
  <si>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</si>
  <si>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</si>
  <si>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</si>
  <si>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</si>
  <si>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</si>
  <si>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</si>
  <si>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</si>
  <si>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</si>
  <si>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</si>
  <si>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</si>
  <si>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</si>
  <si>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</si>
  <si>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</si>
  <si>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</si>
  <si>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</si>
  <si>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</si>
  <si>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</si>
  <si>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</si>
  <si>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</si>
  <si>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</si>
  <si>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</si>
  <si>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</si>
  <si>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</si>
  <si>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</si>
  <si>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</si>
  <si>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</si>
  <si>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</si>
  <si>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</si>
  <si>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</si>
  <si>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</si>
  <si>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</si>
  <si>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</si>
  <si>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</si>
  <si>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</si>
  <si>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</si>
  <si>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</si>
  <si>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</si>
  <si>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</si>
  <si>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</si>
  <si>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</si>
  <si>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</si>
  <si>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</si>
  <si>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</si>
  <si>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</si>
  <si>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</si>
  <si>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</si>
  <si>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</si>
  <si>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</si>
  <si>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</si>
  <si>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</si>
  <si>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</si>
  <si>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</si>
  <si>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</si>
  <si>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</si>
  <si>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</si>
  <si>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</si>
  <si>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</si>
  <si>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</si>
  <si>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</si>
  <si>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</si>
  <si>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</si>
  <si>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</si>
  <si>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</si>
  <si>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</si>
  <si>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</si>
  <si>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</si>
  <si>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</si>
  <si>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</si>
  <si>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</si>
  <si>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</si>
  <si>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</si>
  <si>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</si>
  <si>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</si>
  <si>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</si>
  <si>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</si>
  <si>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</si>
  <si>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</si>
  <si>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</si>
  <si>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</si>
  <si>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</si>
  <si>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</si>
  <si>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</si>
  <si>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</si>
  <si>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</si>
  <si>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</si>
  <si>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</si>
  <si>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</si>
  <si>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</si>
  <si>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</si>
  <si>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</si>
  <si>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</si>
  <si>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</si>
  <si>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</si>
  <si>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</si>
  <si>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</si>
  <si>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</si>
  <si>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</si>
  <si>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</si>
  <si>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</si>
  <si>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</si>
  <si>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</si>
  <si>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</si>
  <si>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</si>
  <si>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</si>
  <si>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</si>
  <si>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</si>
  <si>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</si>
  <si>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</si>
  <si>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</si>
  <si>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</si>
  <si>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</si>
  <si>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</si>
  <si>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</si>
  <si>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</si>
  <si>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</si>
  <si>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</si>
  <si>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</si>
  <si>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</si>
  <si>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</si>
  <si>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</si>
  <si>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</si>
  <si>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</si>
  <si>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</si>
  <si>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</si>
  <si>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</si>
  <si>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</si>
  <si>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</si>
  <si>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</si>
  <si>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</si>
  <si>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</si>
  <si>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</si>
  <si>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</si>
  <si>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</si>
  <si>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</si>
  <si>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</si>
  <si>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</si>
  <si>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</si>
  <si>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</si>
  <si>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</si>
  <si>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</si>
  <si>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</si>
  <si>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</si>
  <si>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</si>
  <si>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</si>
  <si>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</si>
  <si>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</si>
  <si>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</si>
  <si>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</si>
  <si>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</si>
  <si>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</si>
  <si>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</si>
  <si>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</si>
  <si>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</si>
  <si>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</si>
  <si>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</si>
  <si>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</si>
  <si>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</si>
  <si>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</si>
  <si>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</si>
  <si>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</si>
  <si>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</si>
  <si>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</si>
  <si>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</si>
  <si>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</si>
  <si>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</si>
  <si>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</si>
  <si>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</si>
  <si>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</si>
  <si>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</si>
  <si>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</si>
  <si>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</si>
  <si>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</si>
  <si>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</si>
  <si>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</si>
  <si>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</si>
  <si>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</si>
  <si>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</si>
  <si>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</si>
  <si>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</si>
  <si>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</si>
  <si>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</si>
  <si>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</si>
  <si>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</si>
  <si>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</si>
  <si>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</si>
  <si>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</si>
  <si>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</si>
  <si>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</si>
  <si>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</si>
  <si>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</si>
  <si>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</si>
  <si>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</si>
  <si>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</si>
  <si>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</si>
  <si>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</si>
  <si>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</si>
  <si>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</si>
  <si>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</si>
  <si>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</si>
  <si>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</si>
  <si>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</si>
  <si>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</si>
  <si>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</si>
  <si>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</si>
  <si>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</si>
  <si>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</si>
  <si>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</si>
  <si>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</si>
  <si>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</si>
  <si>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</si>
  <si>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</si>
  <si>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</si>
  <si>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</si>
  <si>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</si>
  <si>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</si>
  <si>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</si>
  <si>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</si>
  <si>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</si>
  <si>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</si>
  <si>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</si>
  <si>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</si>
  <si>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</si>
  <si>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</si>
  <si>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</si>
  <si>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</si>
  <si>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</si>
  <si>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</si>
  <si>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</si>
  <si>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</si>
  <si>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</si>
  <si>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</si>
  <si>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</si>
  <si>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</si>
  <si>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</si>
  <si>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</si>
  <si>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</si>
  <si>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</si>
  <si>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</si>
  <si>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</si>
  <si>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</si>
  <si>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</si>
  <si>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</si>
  <si>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</si>
  <si>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</si>
  <si>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</si>
  <si>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</si>
  <si>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</si>
  <si>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</si>
  <si>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</si>
  <si>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</si>
  <si>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</si>
  <si>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</si>
  <si>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</si>
  <si>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</si>
  <si>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</si>
  <si>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</si>
  <si>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</si>
  <si>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</si>
  <si>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</si>
  <si>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</si>
  <si>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</si>
  <si>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</si>
  <si>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</si>
  <si>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</si>
  <si>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</si>
  <si>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</si>
  <si>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</si>
  <si>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</si>
  <si>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</si>
  <si>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</si>
  <si>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</si>
  <si>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</si>
  <si>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</si>
  <si>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</si>
  <si>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</si>
  <si>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</si>
  <si>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</si>
  <si>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</si>
  <si>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</si>
  <si>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</si>
  <si>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</si>
  <si>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</si>
  <si>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</si>
  <si>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</si>
  <si>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</si>
  <si>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</si>
  <si>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</si>
  <si>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</si>
  <si>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</si>
  <si>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</si>
  <si>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</si>
  <si>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</si>
  <si>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</si>
  <si>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</si>
  <si>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</si>
  <si>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</si>
  <si>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</si>
  <si>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</si>
  <si>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</si>
  <si>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</si>
  <si>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</si>
  <si>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</si>
  <si>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</si>
  <si>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</si>
  <si>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</si>
  <si>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</si>
  <si>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</si>
  <si>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</si>
  <si>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</si>
  <si>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</si>
  <si>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</si>
  <si>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</si>
  <si>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</si>
  <si>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</si>
  <si>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</si>
  <si>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</si>
  <si>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</si>
  <si>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</si>
  <si>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</si>
  <si>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</si>
  <si>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</si>
  <si>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</si>
  <si>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</si>
  <si>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</si>
  <si>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</si>
  <si>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</si>
  <si>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</si>
  <si>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</si>
  <si>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</si>
  <si>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</si>
  <si>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</si>
  <si>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</si>
  <si>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</si>
  <si>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</si>
  <si>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</si>
  <si>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</si>
  <si>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</si>
  <si>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</si>
  <si>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</si>
  <si>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</si>
  <si>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</si>
  <si>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</si>
  <si>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</si>
  <si>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</si>
  <si>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</si>
  <si>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</si>
  <si>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</si>
  <si>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</si>
  <si>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</si>
  <si>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</si>
  <si>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</si>
  <si>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</si>
  <si>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</si>
  <si>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</si>
  <si>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</si>
  <si>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</si>
  <si>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</si>
  <si>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</si>
  <si>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</si>
  <si>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</si>
  <si>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</si>
  <si>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</si>
  <si>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</si>
  <si>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</si>
  <si>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</si>
  <si>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</si>
  <si>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</si>
  <si>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</si>
  <si>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</si>
  <si>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</si>
  <si>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</si>
  <si>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</si>
  <si>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</si>
  <si>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</si>
  <si>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</si>
  <si>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</si>
  <si>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</si>
  <si>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</si>
  <si>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</si>
  <si>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</si>
  <si>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</si>
  <si>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</si>
  <si>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</si>
  <si>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</si>
  <si>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</si>
  <si>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</si>
  <si>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</si>
  <si>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</si>
  <si>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</si>
  <si>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</si>
  <si>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</si>
  <si>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</si>
  <si>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</si>
  <si>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</si>
  <si>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</si>
  <si>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</si>
  <si>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</si>
  <si>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</si>
  <si>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</si>
  <si>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</si>
  <si>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</si>
  <si>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</si>
  <si>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</si>
  <si>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</si>
  <si>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</si>
  <si>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</si>
  <si>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</si>
  <si>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</si>
  <si>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</si>
  <si>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</si>
  <si>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</si>
  <si>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</si>
  <si>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</si>
  <si>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</si>
  <si>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</si>
  <si>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</si>
  <si>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</si>
  <si>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</si>
  <si>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</si>
  <si>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</si>
  <si>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</si>
  <si>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</si>
  <si>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</si>
  <si>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</si>
  <si>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</si>
  <si>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</si>
  <si>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</si>
  <si>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</si>
  <si>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</si>
  <si>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</si>
  <si>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</si>
  <si>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</si>
  <si>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</si>
  <si>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</si>
  <si>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</si>
  <si>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</si>
  <si>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</si>
  <si>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</si>
  <si>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</si>
  <si>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</si>
  <si>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</si>
  <si>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</si>
  <si>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</si>
  <si>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</si>
  <si>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</si>
  <si>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</si>
  <si>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</si>
  <si>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</si>
  <si>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</si>
  <si>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</si>
  <si>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</si>
  <si>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</si>
  <si>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</si>
  <si>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</si>
  <si>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</si>
  <si>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</si>
  <si>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</si>
  <si>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</si>
  <si>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</si>
  <si>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</si>
  <si>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</si>
  <si>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</si>
  <si>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</si>
  <si>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</si>
  <si>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</si>
  <si>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</si>
  <si>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</si>
  <si>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</si>
  <si>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</si>
  <si>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</si>
  <si>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</si>
  <si>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</si>
  <si>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</si>
  <si>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</si>
  <si>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</si>
  <si>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</si>
  <si>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</si>
  <si>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</si>
  <si>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</si>
  <si>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</si>
  <si>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</si>
  <si>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</si>
  <si>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</si>
  <si>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</si>
  <si>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</si>
  <si>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</si>
  <si>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</si>
  <si>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</si>
  <si>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</si>
  <si>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</si>
  <si>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</si>
  <si>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</si>
  <si>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</si>
  <si>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</si>
  <si>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</si>
  <si>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</si>
  <si>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</si>
  <si>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</si>
  <si>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</si>
  <si>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</si>
  <si>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</si>
  <si>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</si>
  <si>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</si>
  <si>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</si>
  <si>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</si>
  <si>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</si>
  <si>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</si>
  <si>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</si>
  <si>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</si>
  <si>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</si>
  <si>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</si>
  <si>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</si>
  <si>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</si>
  <si>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</si>
  <si>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</si>
  <si>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</si>
  <si>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</si>
  <si>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</si>
  <si>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</si>
  <si>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</si>
  <si>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</si>
  <si>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</si>
  <si>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</si>
  <si>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</si>
  <si>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</si>
  <si>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</si>
  <si>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</si>
  <si>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</si>
  <si>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</si>
  <si>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</si>
  <si>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</si>
  <si>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</si>
  <si>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</si>
  <si>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</si>
  <si>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</si>
  <si>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</si>
  <si>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</si>
  <si>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</si>
  <si>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</si>
  <si>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</si>
  <si>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</si>
  <si>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</si>
  <si>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</si>
  <si>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</si>
  <si>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</si>
  <si>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</si>
  <si>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</si>
  <si>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</si>
  <si>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</si>
  <si>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</si>
  <si>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</si>
  <si>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</si>
  <si>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</si>
  <si>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</si>
  <si>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</si>
  <si>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</si>
  <si>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</si>
  <si>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</si>
  <si>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</si>
  <si>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</si>
  <si>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</si>
  <si>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</si>
  <si>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</si>
  <si>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</si>
  <si>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</si>
  <si>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</si>
  <si>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</si>
  <si>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</si>
  <si>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</si>
  <si>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</si>
  <si>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</si>
  <si>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</si>
  <si>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</si>
  <si>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</si>
  <si>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</si>
  <si>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</si>
  <si>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</si>
  <si>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</si>
  <si>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</si>
  <si>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</si>
  <si>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</si>
  <si>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</si>
  <si>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</si>
  <si>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</si>
  <si>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</si>
  <si>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</si>
  <si>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</si>
  <si>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</si>
  <si>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</si>
  <si>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</si>
  <si>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</si>
  <si>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</si>
  <si>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</si>
  <si>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</si>
  <si>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</si>
  <si>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</si>
  <si>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</si>
  <si>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</si>
  <si>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</si>
  <si>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</si>
  <si>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</si>
  <si>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</si>
  <si>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</si>
  <si>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</si>
  <si>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</si>
  <si>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</si>
  <si>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</si>
  <si>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</si>
  <si>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</si>
  <si>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</si>
  <si>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</si>
  <si>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</si>
  <si>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</si>
  <si>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</si>
  <si>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</si>
  <si>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</si>
  <si>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</si>
  <si>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</si>
  <si>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</si>
  <si>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</si>
  <si>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</si>
  <si>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</si>
  <si>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</si>
  <si>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</si>
  <si>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</si>
  <si>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</si>
  <si>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</si>
  <si>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</si>
  <si>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</si>
  <si>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</si>
  <si>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</si>
  <si>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</si>
  <si>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</si>
  <si>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</si>
  <si>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</si>
  <si>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</si>
  <si>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</si>
  <si>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</si>
  <si>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</si>
  <si>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</si>
  <si>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</si>
  <si>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</si>
  <si>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</si>
  <si>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</si>
  <si>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</si>
  <si>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</si>
  <si>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</si>
  <si>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</si>
  <si>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</si>
  <si>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</si>
  <si>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</si>
  <si>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</si>
  <si>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</si>
  <si>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</si>
  <si>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</si>
  <si>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</si>
  <si>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</si>
  <si>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</si>
  <si>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</si>
  <si>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</si>
  <si>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</si>
  <si>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</si>
  <si>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</si>
  <si>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</si>
  <si>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</si>
  <si>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</si>
  <si>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</si>
  <si>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</si>
  <si>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</si>
  <si>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</si>
  <si>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</si>
  <si>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</si>
  <si>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</si>
  <si>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</si>
  <si>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</si>
  <si>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</si>
  <si>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</si>
  <si>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</si>
  <si>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</si>
  <si>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</si>
  <si>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</si>
  <si>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</si>
  <si>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</si>
  <si>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</si>
  <si>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</si>
  <si>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</si>
  <si>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</si>
  <si>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</si>
  <si>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</si>
  <si>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</si>
  <si>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</si>
  <si>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</si>
  <si>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</si>
  <si>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</si>
  <si>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</si>
  <si>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</si>
  <si>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</si>
  <si>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</si>
  <si>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</si>
  <si>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</si>
  <si>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</si>
  <si>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</si>
  <si>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</si>
  <si>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</si>
  <si>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</si>
  <si>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</si>
  <si>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</si>
  <si>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</si>
  <si>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</si>
  <si>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</si>
  <si>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</si>
  <si>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</si>
  <si>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</si>
  <si>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</si>
  <si>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</si>
  <si>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</si>
  <si>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</si>
  <si>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</si>
  <si>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</si>
  <si>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</si>
  <si>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</si>
  <si>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</si>
  <si>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</si>
  <si>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</si>
  <si>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</si>
  <si>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</si>
  <si>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</si>
  <si>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</si>
  <si>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</si>
  <si>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</si>
  <si>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</si>
  <si>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</si>
  <si>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</si>
  <si>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</si>
  <si>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</si>
  <si>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</si>
  <si>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</si>
  <si>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</si>
  <si>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</si>
  <si>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</si>
  <si>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</si>
  <si>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</si>
  <si>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</si>
  <si>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</si>
  <si>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</si>
  <si>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</si>
  <si>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</si>
  <si>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</si>
  <si>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</si>
  <si>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</si>
  <si>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</si>
  <si>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</si>
  <si>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</si>
  <si>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</si>
  <si>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</si>
  <si>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</si>
  <si>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</si>
  <si>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</si>
  <si>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</si>
  <si>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</si>
  <si>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</si>
  <si>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</si>
  <si>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</si>
  <si>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</si>
  <si>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</si>
  <si>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</si>
  <si>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</si>
  <si>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</si>
  <si>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</si>
  <si>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</si>
  <si>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</si>
  <si>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</si>
  <si>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</si>
  <si>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</si>
  <si>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</si>
  <si>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</si>
  <si>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</si>
  <si>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</si>
  <si>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</si>
  <si>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</si>
  <si>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</si>
  <si>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</si>
  <si>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</si>
  <si>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</si>
  <si>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</si>
  <si>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</si>
  <si>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</si>
  <si>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</si>
  <si>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</si>
  <si>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</si>
  <si>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</si>
  <si>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</si>
  <si>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</si>
  <si>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</si>
  <si>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</si>
  <si>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</si>
  <si>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</si>
  <si>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</si>
  <si>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</si>
  <si>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</si>
  <si>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</si>
  <si>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</si>
  <si>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</si>
  <si>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</si>
  <si>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</si>
  <si>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</si>
  <si>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</si>
  <si>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</si>
  <si>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</si>
  <si>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</si>
  <si>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</si>
  <si>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</si>
  <si>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</si>
  <si>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</si>
  <si>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</si>
  <si>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</si>
  <si>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</si>
  <si>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</si>
  <si>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</si>
  <si>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</si>
  <si>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</si>
  <si>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</si>
  <si>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</si>
  <si>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</si>
  <si>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</si>
  <si>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</si>
  <si>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</si>
  <si>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</si>
  <si>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</si>
  <si>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</si>
  <si>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</si>
  <si>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</si>
  <si>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</si>
  <si>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</si>
  <si>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</si>
  <si>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</si>
  <si>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</si>
  <si>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</si>
  <si>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</si>
  <si>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</si>
  <si>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</si>
  <si>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</si>
  <si>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</si>
  <si>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</si>
  <si>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</si>
  <si>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</si>
  <si>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</si>
  <si>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</si>
  <si>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</si>
  <si>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</si>
  <si>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</si>
  <si>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</si>
  <si>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</si>
  <si>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</si>
  <si>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</si>
  <si>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</si>
  <si>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</si>
  <si>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</si>
  <si>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</si>
  <si>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</si>
  <si>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</si>
  <si>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</si>
  <si>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</si>
  <si>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</si>
  <si>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</si>
  <si>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</si>
  <si>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</si>
  <si>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</si>
  <si>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</si>
  <si>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</si>
  <si>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</si>
  <si>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</si>
  <si>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</si>
  <si>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</si>
  <si>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</si>
  <si>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</si>
  <si>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</si>
  <si>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</si>
  <si>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</si>
  <si>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</si>
  <si>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</si>
  <si>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</si>
  <si>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</si>
  <si>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</si>
  <si>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</si>
  <si>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</si>
  <si>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</si>
  <si>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</si>
  <si>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</si>
  <si>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</si>
  <si>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</si>
  <si>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</si>
  <si>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</si>
  <si>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</si>
  <si>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</si>
  <si>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</si>
  <si>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</si>
  <si>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</si>
  <si>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</si>
  <si>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</si>
  <si>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</si>
  <si>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</si>
  <si>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</si>
  <si>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</si>
  <si>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</si>
  <si>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</si>
  <si>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</si>
  <si>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</si>
  <si>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</si>
  <si>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</si>
  <si>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</si>
  <si>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</si>
  <si>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</si>
  <si>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</si>
  <si>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</si>
  <si>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</si>
  <si>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</si>
  <si>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</si>
  <si>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</si>
  <si>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</si>
  <si>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</si>
  <si>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</si>
  <si>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</si>
  <si>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</si>
  <si>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</si>
  <si>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</si>
  <si>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</si>
  <si>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</si>
  <si>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</si>
  <si>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</si>
  <si>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</si>
  <si>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</si>
  <si>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</si>
  <si>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</si>
  <si>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</si>
  <si>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</si>
  <si>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</si>
  <si>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</si>
  <si>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</si>
  <si>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</si>
  <si>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</si>
  <si>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</si>
  <si>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</si>
  <si>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</si>
  <si>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</si>
  <si>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</si>
  <si>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</si>
  <si>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</si>
  <si>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</si>
  <si>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</si>
  <si>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</si>
  <si>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</si>
  <si>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</si>
  <si>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</si>
  <si>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</si>
  <si>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</si>
  <si>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</si>
  <si>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</si>
  <si>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</si>
  <si>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</si>
  <si>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</si>
  <si>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</si>
  <si>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</si>
  <si>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</si>
  <si>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</si>
  <si>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</si>
  <si>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</si>
  <si>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</si>
  <si>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</si>
  <si>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</si>
  <si>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</si>
  <si>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</si>
  <si>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</si>
  <si>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</si>
  <si>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</si>
  <si>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</si>
  <si>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</si>
  <si>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</si>
  <si>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</si>
  <si>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</si>
  <si>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</si>
  <si>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</si>
  <si>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</si>
  <si>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</si>
  <si>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</si>
  <si>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</si>
  <si>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</si>
  <si>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</si>
  <si>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</si>
  <si>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</si>
  <si>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</si>
  <si>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</si>
  <si>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</si>
  <si>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</si>
  <si>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</si>
  <si>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</si>
  <si>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</si>
  <si>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</si>
  <si>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</si>
  <si>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</si>
  <si>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</si>
  <si>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</si>
  <si>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</si>
  <si>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</si>
  <si>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</si>
  <si>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</si>
  <si>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</si>
  <si>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</si>
  <si>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</si>
  <si>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</si>
  <si>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</si>
  <si>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</si>
  <si>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</si>
  <si>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</si>
  <si>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</si>
  <si>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</si>
  <si>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</si>
  <si>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</si>
  <si>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</si>
  <si>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</si>
  <si>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</si>
  <si>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</si>
  <si>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</si>
  <si>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</si>
  <si>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</si>
  <si>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</si>
  <si>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</si>
  <si>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</si>
  <si>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</si>
  <si>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</si>
  <si>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</si>
  <si>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</si>
  <si>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</si>
  <si>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</si>
  <si>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</si>
  <si>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</si>
  <si>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</si>
  <si>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</si>
  <si>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</si>
  <si>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</si>
  <si>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</si>
  <si>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</si>
  <si>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</si>
  <si>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</si>
  <si>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</si>
  <si>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</si>
  <si>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</si>
  <si>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</si>
  <si>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</si>
  <si>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</si>
  <si>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</si>
  <si>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</si>
  <si>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</si>
  <si>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</si>
  <si>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</si>
  <si>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</si>
  <si>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</si>
  <si>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</si>
  <si>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</si>
  <si>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</si>
  <si>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</si>
  <si>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</si>
  <si>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</si>
  <si>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</si>
  <si>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</si>
  <si>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</si>
  <si>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</si>
  <si>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</si>
  <si>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</si>
  <si>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</si>
  <si>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</si>
  <si>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</si>
  <si>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</si>
  <si>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</si>
  <si>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</si>
  <si>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</si>
  <si>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</si>
  <si>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</si>
  <si>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</si>
  <si>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</si>
  <si>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</si>
  <si>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</si>
  <si>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</si>
  <si>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</si>
  <si>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</si>
  <si>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</si>
  <si>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</si>
  <si>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</si>
  <si>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</si>
  <si>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</si>
  <si>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</si>
  <si>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</si>
  <si>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</si>
  <si>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</si>
  <si>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</si>
  <si>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</si>
  <si>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</si>
  <si>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</si>
  <si>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</si>
  <si>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</si>
  <si>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</si>
  <si>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</si>
  <si>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</si>
  <si>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</si>
  <si>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</si>
  <si>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</si>
  <si>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</si>
  <si>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</si>
  <si>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</si>
  <si>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</si>
  <si>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</si>
  <si>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</si>
  <si>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</si>
  <si>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</si>
  <si>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</si>
  <si>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</si>
  <si>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</si>
  <si>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</si>
  <si>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</si>
  <si>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</si>
  <si>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</si>
  <si>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</si>
  <si>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</si>
  <si>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</si>
  <si>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</si>
  <si>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</si>
  <si>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</si>
  <si>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</si>
  <si>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</si>
  <si>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</si>
  <si>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</si>
  <si>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</si>
  <si>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</si>
  <si>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</si>
  <si>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</si>
  <si>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</si>
  <si>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</si>
  <si>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</si>
  <si>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</si>
  <si>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</si>
  <si>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</si>
  <si>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</si>
  <si>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</si>
  <si>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</si>
  <si>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</si>
  <si>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</si>
  <si>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</si>
  <si>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</si>
  <si>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</si>
  <si>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</si>
  <si>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</si>
  <si>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</si>
  <si>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</si>
  <si>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</si>
  <si>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</si>
  <si>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</si>
  <si>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</si>
  <si>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Total Amount</t>
  </si>
  <si>
    <t>Discount in percentage</t>
  </si>
  <si>
    <t>original price</t>
  </si>
  <si>
    <t>Total Money Saved</t>
  </si>
  <si>
    <t>Days taken for Delivery</t>
  </si>
  <si>
    <t>Discount Y/N</t>
  </si>
  <si>
    <t>Discounted Quantity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</si>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</sst>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3" xfId="0" applyFont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01"/>
  <sheetViews>
    <sheetView tabSelected="1" topLeftCell="W1474" workbookViewId="0">
      <selection activeCell="AA2" sqref="AA2:AA1501"/>
    </sheetView>
  </sheetViews>
  <sheetFormatPr defaultRowHeight="14.4" x14ac:dyDescent="0.3"/>
  <cols>
    <col min="1" max="1" width="19.21875" customWidth="1"/>
    <col min="14" max="14" width="11.21875" customWidth="1"/>
    <col min="15" max="15" width="17.21875" customWidth="1"/>
    <col min="16" max="16" width="15" customWidth="1"/>
    <col min="17" max="17" width="20.44140625" customWidth="1"/>
    <col min="18" max="18" width="18.33203125" customWidth="1"/>
    <col min="19" max="19" width="21.6640625" customWidth="1"/>
    <col min="20" max="20" width="14.5546875" customWidth="1"/>
    <col min="21" max="21" width="20.5546875" customWidth="1"/>
    <col min="22" max="22" width="20.6640625" customWidth="1"/>
    <col min="23" max="23" width="17.21875" customWidth="1"/>
    <col min="24" max="24" width="21.21875" customWidth="1"/>
    <col min="25" max="25" width="13.109375" customWidth="1"/>
    <col min="26" max="26" width="16.109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2928</v>
      </c>
      <c r="U1" s="4" t="s">
        <v>2929</v>
      </c>
      <c r="V1" s="5" t="s">
        <v>2930</v>
      </c>
      <c r="W1" s="5" t="s">
        <v>2931</v>
      </c>
      <c r="X1" s="5" t="s">
        <v>2932</v>
      </c>
      <c r="Y1" s="5" t="s">
        <v>2933</v>
      </c>
      <c r="Z1" s="5" t="s">
        <v>2934</v>
      </c>
      <c r="AA1" s="6" t="s">
        <v>2935</v>
      </c>
    </row>
    <row r="2" spans="1:27" x14ac:dyDescent="0.3">
      <c r="A2" s="2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  <c r="T2">
        <f>SUM(J2:P2)</f>
        <v>2333.7400000000002</v>
      </c>
      <c r="U2">
        <f>PRODUCT(100,H2)</f>
        <v>0</v>
      </c>
      <c r="V2">
        <f>PRODUCT(D2:E2)</f>
        <v>2290.4</v>
      </c>
      <c r="W2">
        <f xml:space="preserve"> V2-J2</f>
        <v>0</v>
      </c>
      <c r="X2">
        <f>R2-Q2</f>
        <v>4</v>
      </c>
      <c r="Y2" cm="1">
        <f t="array" ref="Y2">_xlfn.IFS(H2=0.1,1,H2=0.15,1,H2=0.05,1,H2=0,0)</f>
        <v>0</v>
      </c>
      <c r="Z2">
        <f>PRODUCT(Y2,D2)</f>
        <v>0</v>
      </c>
      <c r="AA2">
        <f>YEAR(A2)</f>
        <v>2023</v>
      </c>
    </row>
    <row r="3" spans="1:27" x14ac:dyDescent="0.3">
      <c r="A3" s="2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  <c r="T3">
        <f t="shared" ref="T3:T66" si="0">SUM(J3:P3)</f>
        <v>549.30999999999995</v>
      </c>
      <c r="U3">
        <f t="shared" ref="U3:U66" si="1">PRODUCT(100,H3)</f>
        <v>0</v>
      </c>
      <c r="V3">
        <f t="shared" ref="V3:V66" si="2">PRODUCT(D3:E3)</f>
        <v>544.01</v>
      </c>
      <c r="W3">
        <f t="shared" ref="W3:W66" si="3" xml:space="preserve"> V3-J3</f>
        <v>0</v>
      </c>
      <c r="X3">
        <f t="shared" ref="X3:X66" si="4">R3-Q3</f>
        <v>9</v>
      </c>
      <c r="Y3" cm="1">
        <f t="array" ref="Y3">_xlfn.IFS(H3=0.1,1,H3=0.15,1,H3=0.05,1,H3=0,0)</f>
        <v>0</v>
      </c>
      <c r="Z3">
        <f t="shared" ref="Z3:Z66" si="5">PRODUCT(Y3,D3)</f>
        <v>0</v>
      </c>
      <c r="AA3">
        <f t="shared" ref="AA3:AA66" si="6">YEAR(A3)</f>
        <v>2024</v>
      </c>
    </row>
    <row r="4" spans="1:27" x14ac:dyDescent="0.3">
      <c r="A4" s="2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  <c r="T4">
        <f t="shared" si="0"/>
        <v>4382.3280000000004</v>
      </c>
      <c r="U4">
        <f t="shared" si="1"/>
        <v>10</v>
      </c>
      <c r="V4">
        <f t="shared" si="2"/>
        <v>4846.5200000000004</v>
      </c>
      <c r="W4">
        <f t="shared" si="3"/>
        <v>484.65200000000004</v>
      </c>
      <c r="X4">
        <f t="shared" si="4"/>
        <v>9</v>
      </c>
      <c r="Y4" cm="1">
        <f t="array" ref="Y4">_xlfn.IFS(H4=0.1,1,H4=0.15,1,H4=0.05,1,H4=0,0)</f>
        <v>1</v>
      </c>
      <c r="Z4">
        <f t="shared" si="5"/>
        <v>14</v>
      </c>
      <c r="AA4">
        <f t="shared" si="6"/>
        <v>2023</v>
      </c>
    </row>
    <row r="5" spans="1:27" x14ac:dyDescent="0.3">
      <c r="A5" s="2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  <c r="T5">
        <f t="shared" si="0"/>
        <v>5915.6959999999999</v>
      </c>
      <c r="U5">
        <f t="shared" si="1"/>
        <v>15</v>
      </c>
      <c r="V5">
        <f t="shared" si="2"/>
        <v>6926.76</v>
      </c>
      <c r="W5">
        <f t="shared" si="3"/>
        <v>1039.0140000000001</v>
      </c>
      <c r="X5">
        <f t="shared" si="4"/>
        <v>4</v>
      </c>
      <c r="Y5" cm="1">
        <f t="array" ref="Y5">_xlfn.IFS(H5=0.1,1,H5=0.15,1,H5=0.05,1,H5=0,0)</f>
        <v>1</v>
      </c>
      <c r="Z5">
        <f t="shared" si="5"/>
        <v>18</v>
      </c>
      <c r="AA5">
        <f t="shared" si="6"/>
        <v>2025</v>
      </c>
    </row>
    <row r="6" spans="1:27" x14ac:dyDescent="0.3">
      <c r="A6" s="2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  <c r="T6">
        <f t="shared" si="0"/>
        <v>4285.41</v>
      </c>
      <c r="U6">
        <f t="shared" si="1"/>
        <v>0</v>
      </c>
      <c r="V6">
        <f t="shared" si="2"/>
        <v>4279.68</v>
      </c>
      <c r="W6">
        <f t="shared" si="3"/>
        <v>0</v>
      </c>
      <c r="X6">
        <f t="shared" si="4"/>
        <v>3</v>
      </c>
      <c r="Y6" cm="1">
        <f t="array" ref="Y6">_xlfn.IFS(H6=0.1,1,H6=0.15,1,H6=0.05,1,H6=0,0)</f>
        <v>0</v>
      </c>
      <c r="Z6">
        <f t="shared" si="5"/>
        <v>0</v>
      </c>
      <c r="AA6">
        <f t="shared" si="6"/>
        <v>2023</v>
      </c>
    </row>
    <row r="7" spans="1:27" x14ac:dyDescent="0.3">
      <c r="A7" s="2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654.65299999999991</v>
      </c>
      <c r="K7" t="s">
        <v>58</v>
      </c>
      <c r="L7" t="s">
        <v>59</v>
      </c>
      <c r="M7">
        <v>0</v>
      </c>
      <c r="N7" t="s">
        <v>60</v>
      </c>
      <c r="O7" t="s">
        <v>61</v>
      </c>
      <c r="P7">
        <v>11.92</v>
      </c>
      <c r="Q7" s="2">
        <v>45342</v>
      </c>
      <c r="R7" s="2">
        <v>45352</v>
      </c>
      <c r="S7" t="s">
        <v>50</v>
      </c>
      <c r="T7">
        <f t="shared" si="0"/>
        <v>666.57299999999987</v>
      </c>
      <c r="U7">
        <f t="shared" si="1"/>
        <v>15</v>
      </c>
      <c r="V7">
        <f t="shared" si="2"/>
        <v>770.18</v>
      </c>
      <c r="W7">
        <f t="shared" si="3"/>
        <v>115.52700000000004</v>
      </c>
      <c r="X7">
        <f t="shared" si="4"/>
        <v>10</v>
      </c>
      <c r="Y7" cm="1">
        <f t="array" ref="Y7">_xlfn.IFS(H7=0.1,1,H7=0.15,1,H7=0.05,1,H7=0,0)</f>
        <v>1</v>
      </c>
      <c r="Z7">
        <f t="shared" si="5"/>
        <v>2</v>
      </c>
      <c r="AA7">
        <f t="shared" si="6"/>
        <v>2024</v>
      </c>
    </row>
    <row r="8" spans="1:27" x14ac:dyDescent="0.3">
      <c r="A8" s="2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62</v>
      </c>
      <c r="L8" t="s">
        <v>41</v>
      </c>
      <c r="M8">
        <v>0</v>
      </c>
      <c r="N8" t="s">
        <v>63</v>
      </c>
      <c r="O8" t="s">
        <v>64</v>
      </c>
      <c r="P8">
        <v>5.0199999999999996</v>
      </c>
      <c r="Q8" s="2">
        <v>44937</v>
      </c>
      <c r="R8" s="2">
        <v>44940</v>
      </c>
      <c r="S8" t="s">
        <v>38</v>
      </c>
      <c r="T8">
        <f t="shared" si="0"/>
        <v>115.27</v>
      </c>
      <c r="U8">
        <f t="shared" si="1"/>
        <v>10</v>
      </c>
      <c r="V8">
        <f t="shared" si="2"/>
        <v>122.5</v>
      </c>
      <c r="W8">
        <f t="shared" si="3"/>
        <v>12.25</v>
      </c>
      <c r="X8">
        <f t="shared" si="4"/>
        <v>3</v>
      </c>
      <c r="Y8" cm="1">
        <f t="array" ref="Y8">_xlfn.IFS(H8=0.1,1,H8=0.15,1,H8=0.05,1,H8=0,0)</f>
        <v>1</v>
      </c>
      <c r="Z8">
        <f t="shared" si="5"/>
        <v>7</v>
      </c>
      <c r="AA8">
        <f t="shared" si="6"/>
        <v>2023</v>
      </c>
    </row>
    <row r="9" spans="1:27" x14ac:dyDescent="0.3">
      <c r="A9" s="2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65</v>
      </c>
      <c r="L9" t="s">
        <v>59</v>
      </c>
      <c r="M9">
        <v>0</v>
      </c>
      <c r="N9" t="s">
        <v>66</v>
      </c>
      <c r="O9" t="s">
        <v>67</v>
      </c>
      <c r="P9">
        <v>48.01</v>
      </c>
      <c r="Q9" s="2">
        <v>44935</v>
      </c>
      <c r="R9" s="2">
        <v>44937</v>
      </c>
      <c r="S9" t="s">
        <v>50</v>
      </c>
      <c r="T9">
        <f t="shared" si="0"/>
        <v>890.07100000000003</v>
      </c>
      <c r="U9">
        <f t="shared" si="1"/>
        <v>15</v>
      </c>
      <c r="V9">
        <f t="shared" si="2"/>
        <v>990.66000000000008</v>
      </c>
      <c r="W9">
        <f t="shared" si="3"/>
        <v>148.59900000000005</v>
      </c>
      <c r="X9">
        <f t="shared" si="4"/>
        <v>2</v>
      </c>
      <c r="Y9" cm="1">
        <f t="array" ref="Y9">_xlfn.IFS(H9=0.1,1,H9=0.15,1,H9=0.05,1,H9=0,0)</f>
        <v>1</v>
      </c>
      <c r="Z9">
        <f t="shared" si="5"/>
        <v>3</v>
      </c>
      <c r="AA9">
        <f t="shared" si="6"/>
        <v>2023</v>
      </c>
    </row>
    <row r="10" spans="1:27" x14ac:dyDescent="0.3">
      <c r="A10" s="2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68</v>
      </c>
      <c r="J10">
        <v>1231.3140000000001</v>
      </c>
      <c r="K10" t="s">
        <v>62</v>
      </c>
      <c r="L10" t="s">
        <v>25</v>
      </c>
      <c r="M10">
        <v>1</v>
      </c>
      <c r="N10" t="s">
        <v>69</v>
      </c>
      <c r="O10" t="s">
        <v>70</v>
      </c>
      <c r="P10">
        <v>42.11</v>
      </c>
      <c r="Q10" s="2">
        <v>45581</v>
      </c>
      <c r="R10" s="2">
        <v>45583</v>
      </c>
      <c r="S10" t="s">
        <v>38</v>
      </c>
      <c r="T10">
        <f t="shared" si="0"/>
        <v>1274.424</v>
      </c>
      <c r="U10">
        <f t="shared" si="1"/>
        <v>5</v>
      </c>
      <c r="V10">
        <f t="shared" si="2"/>
        <v>1296.1200000000001</v>
      </c>
      <c r="W10">
        <f t="shared" si="3"/>
        <v>64.80600000000004</v>
      </c>
      <c r="X10">
        <f t="shared" si="4"/>
        <v>2</v>
      </c>
      <c r="Y10" cm="1">
        <f t="array" ref="Y10">_xlfn.IFS(H10=0.1,1,H10=0.15,1,H10=0.05,1,H10=0,0)</f>
        <v>1</v>
      </c>
      <c r="Z10">
        <f t="shared" si="5"/>
        <v>3</v>
      </c>
      <c r="AA10">
        <f t="shared" si="6"/>
        <v>2024</v>
      </c>
    </row>
    <row r="11" spans="1:27" x14ac:dyDescent="0.3">
      <c r="A11" s="2">
        <v>45721</v>
      </c>
      <c r="B11" t="s">
        <v>71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72</v>
      </c>
      <c r="O11" t="s">
        <v>73</v>
      </c>
      <c r="P11">
        <v>41.1</v>
      </c>
      <c r="Q11" s="2">
        <v>45721</v>
      </c>
      <c r="R11" s="2">
        <v>45729</v>
      </c>
      <c r="S11" t="s">
        <v>74</v>
      </c>
      <c r="T11">
        <f t="shared" si="0"/>
        <v>1495.86</v>
      </c>
      <c r="U11">
        <f t="shared" si="1"/>
        <v>10</v>
      </c>
      <c r="V11">
        <f t="shared" si="2"/>
        <v>1616.3999999999999</v>
      </c>
      <c r="W11">
        <f t="shared" si="3"/>
        <v>161.63999999999987</v>
      </c>
      <c r="X11">
        <f t="shared" si="4"/>
        <v>8</v>
      </c>
      <c r="Y11" cm="1">
        <f t="array" ref="Y11">_xlfn.IFS(H11=0.1,1,H11=0.15,1,H11=0.05,1,H11=0,0)</f>
        <v>1</v>
      </c>
      <c r="Z11">
        <f t="shared" si="5"/>
        <v>5</v>
      </c>
      <c r="AA11">
        <f t="shared" si="6"/>
        <v>2025</v>
      </c>
    </row>
    <row r="12" spans="1:27" x14ac:dyDescent="0.3">
      <c r="A12" s="2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6671.9474999999993</v>
      </c>
      <c r="K12" t="s">
        <v>62</v>
      </c>
      <c r="L12" t="s">
        <v>59</v>
      </c>
      <c r="M12">
        <v>0</v>
      </c>
      <c r="N12" t="s">
        <v>75</v>
      </c>
      <c r="O12" t="s">
        <v>76</v>
      </c>
      <c r="P12">
        <v>12.14</v>
      </c>
      <c r="Q12" s="2">
        <v>45392</v>
      </c>
      <c r="R12" s="2">
        <v>45399</v>
      </c>
      <c r="S12" t="s">
        <v>44</v>
      </c>
      <c r="T12">
        <f t="shared" si="0"/>
        <v>6684.0874999999996</v>
      </c>
      <c r="U12">
        <f t="shared" si="1"/>
        <v>15</v>
      </c>
      <c r="V12">
        <f t="shared" si="2"/>
        <v>7849.3499999999995</v>
      </c>
      <c r="W12">
        <f t="shared" si="3"/>
        <v>1177.4025000000001</v>
      </c>
      <c r="X12">
        <f t="shared" si="4"/>
        <v>7</v>
      </c>
      <c r="Y12" cm="1">
        <f t="array" ref="Y12">_xlfn.IFS(H12=0.1,1,H12=0.15,1,H12=0.05,1,H12=0,0)</f>
        <v>1</v>
      </c>
      <c r="Z12">
        <f t="shared" si="5"/>
        <v>15</v>
      </c>
      <c r="AA12">
        <f t="shared" si="6"/>
        <v>2024</v>
      </c>
    </row>
    <row r="13" spans="1:27" x14ac:dyDescent="0.3">
      <c r="A13" s="2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L13" t="s">
        <v>59</v>
      </c>
      <c r="M13">
        <v>1</v>
      </c>
      <c r="N13" t="s">
        <v>77</v>
      </c>
      <c r="O13" t="s">
        <v>78</v>
      </c>
      <c r="P13">
        <v>44.89</v>
      </c>
      <c r="Q13" s="2">
        <v>45485</v>
      </c>
      <c r="R13" s="2">
        <v>45491</v>
      </c>
      <c r="S13" t="s">
        <v>28</v>
      </c>
      <c r="T13">
        <f t="shared" si="0"/>
        <v>3591.5749999999998</v>
      </c>
      <c r="U13">
        <f t="shared" si="1"/>
        <v>10</v>
      </c>
      <c r="V13">
        <f t="shared" si="2"/>
        <v>3939.65</v>
      </c>
      <c r="W13">
        <f t="shared" si="3"/>
        <v>393.96500000000015</v>
      </c>
      <c r="X13">
        <f t="shared" si="4"/>
        <v>6</v>
      </c>
      <c r="Y13" cm="1">
        <f t="array" ref="Y13">_xlfn.IFS(H13=0.1,1,H13=0.15,1,H13=0.05,1,H13=0,0)</f>
        <v>1</v>
      </c>
      <c r="Z13">
        <f t="shared" si="5"/>
        <v>19</v>
      </c>
      <c r="AA13">
        <f t="shared" si="6"/>
        <v>2024</v>
      </c>
    </row>
    <row r="14" spans="1:27" x14ac:dyDescent="0.3">
      <c r="A14" s="2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65</v>
      </c>
      <c r="L14" t="s">
        <v>41</v>
      </c>
      <c r="M14">
        <v>0</v>
      </c>
      <c r="N14" t="s">
        <v>79</v>
      </c>
      <c r="O14" t="s">
        <v>80</v>
      </c>
      <c r="P14">
        <v>20.350000000000001</v>
      </c>
      <c r="Q14" s="2">
        <v>45128</v>
      </c>
      <c r="R14" s="2">
        <v>45138</v>
      </c>
      <c r="S14" t="s">
        <v>50</v>
      </c>
      <c r="T14">
        <f t="shared" si="0"/>
        <v>134.8535</v>
      </c>
      <c r="U14">
        <f t="shared" si="1"/>
        <v>5</v>
      </c>
      <c r="V14">
        <f t="shared" si="2"/>
        <v>120.53</v>
      </c>
      <c r="W14">
        <f t="shared" si="3"/>
        <v>6.0264999999999986</v>
      </c>
      <c r="X14">
        <f t="shared" si="4"/>
        <v>10</v>
      </c>
      <c r="Y14" cm="1">
        <f t="array" ref="Y14">_xlfn.IFS(H14=0.1,1,H14=0.15,1,H14=0.05,1,H14=0,0)</f>
        <v>1</v>
      </c>
      <c r="Z14">
        <f t="shared" si="5"/>
        <v>1</v>
      </c>
      <c r="AA14">
        <f t="shared" si="6"/>
        <v>2023</v>
      </c>
    </row>
    <row r="15" spans="1:27" x14ac:dyDescent="0.3">
      <c r="A15" s="2">
        <v>45675</v>
      </c>
      <c r="B15" t="s">
        <v>71</v>
      </c>
      <c r="C15" t="s">
        <v>81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62</v>
      </c>
      <c r="L15" t="s">
        <v>59</v>
      </c>
      <c r="M15">
        <v>0</v>
      </c>
      <c r="N15" t="s">
        <v>82</v>
      </c>
      <c r="O15" t="s">
        <v>83</v>
      </c>
      <c r="P15">
        <v>42.82</v>
      </c>
      <c r="Q15" s="2">
        <v>45675</v>
      </c>
      <c r="R15" s="2">
        <v>45679</v>
      </c>
      <c r="S15" t="s">
        <v>74</v>
      </c>
      <c r="T15">
        <f t="shared" si="0"/>
        <v>176.97549999999998</v>
      </c>
      <c r="U15">
        <f t="shared" si="1"/>
        <v>15</v>
      </c>
      <c r="V15">
        <f t="shared" si="2"/>
        <v>157.83000000000001</v>
      </c>
      <c r="W15">
        <f t="shared" si="3"/>
        <v>23.674500000000023</v>
      </c>
      <c r="X15">
        <f t="shared" si="4"/>
        <v>4</v>
      </c>
      <c r="Y15" cm="1">
        <f t="array" ref="Y15">_xlfn.IFS(H15=0.1,1,H15=0.15,1,H15=0.05,1,H15=0,0)</f>
        <v>1</v>
      </c>
      <c r="Z15">
        <f t="shared" si="5"/>
        <v>1</v>
      </c>
      <c r="AA15">
        <f t="shared" si="6"/>
        <v>2025</v>
      </c>
    </row>
    <row r="16" spans="1:27" x14ac:dyDescent="0.3">
      <c r="A16" s="2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62</v>
      </c>
      <c r="L16" t="s">
        <v>59</v>
      </c>
      <c r="M16">
        <v>0</v>
      </c>
      <c r="N16" t="s">
        <v>84</v>
      </c>
      <c r="O16" t="s">
        <v>85</v>
      </c>
      <c r="P16">
        <v>39.659999999999997</v>
      </c>
      <c r="Q16" s="2">
        <v>45634</v>
      </c>
      <c r="R16" s="2">
        <v>45641</v>
      </c>
      <c r="S16" t="s">
        <v>44</v>
      </c>
      <c r="T16">
        <f t="shared" si="0"/>
        <v>2848.4849999999997</v>
      </c>
      <c r="U16">
        <f t="shared" si="1"/>
        <v>15</v>
      </c>
      <c r="V16">
        <f t="shared" si="2"/>
        <v>3304.5</v>
      </c>
      <c r="W16">
        <f t="shared" si="3"/>
        <v>495.67500000000018</v>
      </c>
      <c r="X16">
        <f t="shared" si="4"/>
        <v>7</v>
      </c>
      <c r="Y16" cm="1">
        <f t="array" ref="Y16">_xlfn.IFS(H16=0.1,1,H16=0.15,1,H16=0.05,1,H16=0,0)</f>
        <v>1</v>
      </c>
      <c r="Z16">
        <f t="shared" si="5"/>
        <v>15</v>
      </c>
      <c r="AA16">
        <f t="shared" si="6"/>
        <v>2024</v>
      </c>
    </row>
    <row r="17" spans="1:27" x14ac:dyDescent="0.3">
      <c r="A17" s="2">
        <v>45788</v>
      </c>
      <c r="B17" t="s">
        <v>71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86</v>
      </c>
      <c r="O17" t="s">
        <v>87</v>
      </c>
      <c r="P17">
        <v>8.11</v>
      </c>
      <c r="Q17" s="2">
        <v>45788</v>
      </c>
      <c r="R17" s="2">
        <v>45794</v>
      </c>
      <c r="S17" t="s">
        <v>74</v>
      </c>
      <c r="T17">
        <f t="shared" si="0"/>
        <v>2639.9140000000002</v>
      </c>
      <c r="U17">
        <f t="shared" si="1"/>
        <v>5</v>
      </c>
      <c r="V17">
        <f t="shared" si="2"/>
        <v>2770.32</v>
      </c>
      <c r="W17">
        <f t="shared" si="3"/>
        <v>138.51600000000008</v>
      </c>
      <c r="X17">
        <f t="shared" si="4"/>
        <v>6</v>
      </c>
      <c r="Y17" cm="1">
        <f t="array" ref="Y17">_xlfn.IFS(H17=0.1,1,H17=0.15,1,H17=0.05,1,H17=0,0)</f>
        <v>1</v>
      </c>
      <c r="Z17">
        <f t="shared" si="5"/>
        <v>17</v>
      </c>
      <c r="AA17">
        <f t="shared" si="6"/>
        <v>2025</v>
      </c>
    </row>
    <row r="18" spans="1:27" x14ac:dyDescent="0.3">
      <c r="A18" s="2">
        <v>44983</v>
      </c>
      <c r="B18" t="s">
        <v>71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68</v>
      </c>
      <c r="J18">
        <v>4486.09</v>
      </c>
      <c r="K18" t="s">
        <v>24</v>
      </c>
      <c r="L18" t="s">
        <v>41</v>
      </c>
      <c r="M18">
        <v>0</v>
      </c>
      <c r="N18" t="s">
        <v>88</v>
      </c>
      <c r="O18" t="s">
        <v>89</v>
      </c>
      <c r="P18">
        <v>34.11</v>
      </c>
      <c r="Q18" s="2">
        <v>44983</v>
      </c>
      <c r="R18" s="2">
        <v>44989</v>
      </c>
      <c r="S18" t="s">
        <v>74</v>
      </c>
      <c r="T18">
        <f t="shared" si="0"/>
        <v>4520.2</v>
      </c>
      <c r="U18">
        <f t="shared" si="1"/>
        <v>0</v>
      </c>
      <c r="V18">
        <f t="shared" si="2"/>
        <v>4486.09</v>
      </c>
      <c r="W18">
        <f t="shared" si="3"/>
        <v>0</v>
      </c>
      <c r="X18">
        <f t="shared" si="4"/>
        <v>6</v>
      </c>
      <c r="Y18" cm="1">
        <f t="array" ref="Y18">_xlfn.IFS(H18=0.1,1,H18=0.15,1,H18=0.05,1,H18=0,0)</f>
        <v>0</v>
      </c>
      <c r="Z18">
        <f t="shared" si="5"/>
        <v>0</v>
      </c>
      <c r="AA18">
        <f t="shared" si="6"/>
        <v>2023</v>
      </c>
    </row>
    <row r="19" spans="1:27" x14ac:dyDescent="0.3">
      <c r="A19" s="2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5989.3130000000001</v>
      </c>
      <c r="K19" t="s">
        <v>65</v>
      </c>
      <c r="L19" t="s">
        <v>35</v>
      </c>
      <c r="M19">
        <v>0</v>
      </c>
      <c r="N19" t="s">
        <v>90</v>
      </c>
      <c r="O19" t="s">
        <v>91</v>
      </c>
      <c r="P19">
        <v>34.71</v>
      </c>
      <c r="Q19" s="2">
        <v>45440</v>
      </c>
      <c r="R19" s="2">
        <v>45444</v>
      </c>
      <c r="S19" t="s">
        <v>50</v>
      </c>
      <c r="T19">
        <f t="shared" si="0"/>
        <v>6024.0230000000001</v>
      </c>
      <c r="U19">
        <f t="shared" si="1"/>
        <v>5</v>
      </c>
      <c r="V19">
        <f t="shared" si="2"/>
        <v>6304.54</v>
      </c>
      <c r="W19">
        <f t="shared" si="3"/>
        <v>315.22699999999986</v>
      </c>
      <c r="X19">
        <f t="shared" si="4"/>
        <v>4</v>
      </c>
      <c r="Y19" cm="1">
        <f t="array" ref="Y19">_xlfn.IFS(H19=0.1,1,H19=0.15,1,H19=0.05,1,H19=0,0)</f>
        <v>1</v>
      </c>
      <c r="Z19">
        <f t="shared" si="5"/>
        <v>11</v>
      </c>
      <c r="AA19">
        <f t="shared" si="6"/>
        <v>2024</v>
      </c>
    </row>
    <row r="20" spans="1:27" x14ac:dyDescent="0.3">
      <c r="A20" s="2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8823.6799999999985</v>
      </c>
      <c r="K20" t="s">
        <v>34</v>
      </c>
      <c r="L20" t="s">
        <v>25</v>
      </c>
      <c r="M20">
        <v>0</v>
      </c>
      <c r="N20" t="s">
        <v>92</v>
      </c>
      <c r="O20" t="s">
        <v>93</v>
      </c>
      <c r="P20">
        <v>19.43</v>
      </c>
      <c r="Q20" s="2">
        <v>45260</v>
      </c>
      <c r="R20" s="2">
        <v>45268</v>
      </c>
      <c r="S20" t="s">
        <v>28</v>
      </c>
      <c r="T20">
        <f t="shared" si="0"/>
        <v>8843.1099999999988</v>
      </c>
      <c r="U20">
        <f t="shared" si="1"/>
        <v>15</v>
      </c>
      <c r="V20">
        <f t="shared" si="2"/>
        <v>10380.799999999999</v>
      </c>
      <c r="W20">
        <f t="shared" si="3"/>
        <v>1557.1200000000008</v>
      </c>
      <c r="X20">
        <f t="shared" si="4"/>
        <v>8</v>
      </c>
      <c r="Y20" cm="1">
        <f t="array" ref="Y20">_xlfn.IFS(H20=0.1,1,H20=0.15,1,H20=0.05,1,H20=0,0)</f>
        <v>1</v>
      </c>
      <c r="Z20">
        <f t="shared" si="5"/>
        <v>20</v>
      </c>
      <c r="AA20">
        <f t="shared" si="6"/>
        <v>2023</v>
      </c>
    </row>
    <row r="21" spans="1:27" x14ac:dyDescent="0.3">
      <c r="A21" s="2">
        <v>45099</v>
      </c>
      <c r="B21" t="s">
        <v>71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94</v>
      </c>
      <c r="O21" t="s">
        <v>95</v>
      </c>
      <c r="P21">
        <v>7.1</v>
      </c>
      <c r="Q21" s="2">
        <v>45099</v>
      </c>
      <c r="R21" s="2">
        <v>45109</v>
      </c>
      <c r="S21" t="s">
        <v>74</v>
      </c>
      <c r="T21">
        <f t="shared" si="0"/>
        <v>439.72</v>
      </c>
      <c r="U21">
        <f t="shared" si="1"/>
        <v>0</v>
      </c>
      <c r="V21">
        <f t="shared" si="2"/>
        <v>431.62</v>
      </c>
      <c r="W21">
        <f t="shared" si="3"/>
        <v>0</v>
      </c>
      <c r="X21">
        <f t="shared" si="4"/>
        <v>10</v>
      </c>
      <c r="Y21" cm="1">
        <f t="array" ref="Y21">_xlfn.IFS(H21=0.1,1,H21=0.15,1,H21=0.05,1,H21=0,0)</f>
        <v>0</v>
      </c>
      <c r="Z21">
        <f t="shared" si="5"/>
        <v>0</v>
      </c>
      <c r="AA21">
        <f t="shared" si="6"/>
        <v>2023</v>
      </c>
    </row>
    <row r="22" spans="1:27" x14ac:dyDescent="0.3">
      <c r="A22" s="2">
        <v>45813</v>
      </c>
      <c r="B22" t="s">
        <v>71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L22" t="s">
        <v>59</v>
      </c>
      <c r="M22">
        <v>0</v>
      </c>
      <c r="N22" t="s">
        <v>96</v>
      </c>
      <c r="O22" t="s">
        <v>97</v>
      </c>
      <c r="P22">
        <v>28.43</v>
      </c>
      <c r="Q22" s="2">
        <v>45813</v>
      </c>
      <c r="R22" s="2">
        <v>45816</v>
      </c>
      <c r="S22" t="s">
        <v>74</v>
      </c>
      <c r="T22">
        <f t="shared" si="0"/>
        <v>3218.93</v>
      </c>
      <c r="U22">
        <f t="shared" si="1"/>
        <v>0</v>
      </c>
      <c r="V22">
        <f t="shared" si="2"/>
        <v>3190.5</v>
      </c>
      <c r="W22">
        <f t="shared" si="3"/>
        <v>0</v>
      </c>
      <c r="X22">
        <f t="shared" si="4"/>
        <v>3</v>
      </c>
      <c r="Y22" cm="1">
        <f t="array" ref="Y22">_xlfn.IFS(H22=0.1,1,H22=0.15,1,H22=0.05,1,H22=0,0)</f>
        <v>0</v>
      </c>
      <c r="Z22">
        <f t="shared" si="5"/>
        <v>0</v>
      </c>
      <c r="AA22">
        <f t="shared" si="6"/>
        <v>2025</v>
      </c>
    </row>
    <row r="23" spans="1:27" x14ac:dyDescent="0.3">
      <c r="A23" s="2">
        <v>44988</v>
      </c>
      <c r="B23" t="s">
        <v>45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68</v>
      </c>
      <c r="J23">
        <v>4160.107</v>
      </c>
      <c r="K23" t="s">
        <v>24</v>
      </c>
      <c r="L23" t="s">
        <v>59</v>
      </c>
      <c r="M23">
        <v>1</v>
      </c>
      <c r="N23" t="s">
        <v>98</v>
      </c>
      <c r="O23" t="s">
        <v>99</v>
      </c>
      <c r="P23">
        <v>46.83</v>
      </c>
      <c r="Q23" s="2">
        <v>44988</v>
      </c>
      <c r="R23" s="2">
        <v>44993</v>
      </c>
      <c r="S23" t="s">
        <v>50</v>
      </c>
      <c r="T23">
        <f t="shared" si="0"/>
        <v>4207.9369999999999</v>
      </c>
      <c r="U23">
        <f t="shared" si="1"/>
        <v>5</v>
      </c>
      <c r="V23">
        <f t="shared" si="2"/>
        <v>4379.0600000000004</v>
      </c>
      <c r="W23">
        <f t="shared" si="3"/>
        <v>218.95300000000043</v>
      </c>
      <c r="X23">
        <f t="shared" si="4"/>
        <v>5</v>
      </c>
      <c r="Y23" cm="1">
        <f t="array" ref="Y23">_xlfn.IFS(H23=0.1,1,H23=0.15,1,H23=0.05,1,H23=0,0)</f>
        <v>1</v>
      </c>
      <c r="Z23">
        <f t="shared" si="5"/>
        <v>14</v>
      </c>
      <c r="AA23">
        <f t="shared" si="6"/>
        <v>2023</v>
      </c>
    </row>
    <row r="24" spans="1:27" x14ac:dyDescent="0.3">
      <c r="A24" s="2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65</v>
      </c>
      <c r="L24" t="s">
        <v>25</v>
      </c>
      <c r="M24">
        <v>1</v>
      </c>
      <c r="N24" t="s">
        <v>100</v>
      </c>
      <c r="O24" t="s">
        <v>101</v>
      </c>
      <c r="P24">
        <v>36.450000000000003</v>
      </c>
      <c r="Q24" s="2">
        <v>45340</v>
      </c>
      <c r="R24" s="2">
        <v>45344</v>
      </c>
      <c r="S24" t="s">
        <v>44</v>
      </c>
      <c r="T24">
        <f t="shared" si="0"/>
        <v>5573.75</v>
      </c>
      <c r="U24">
        <f t="shared" si="1"/>
        <v>0</v>
      </c>
      <c r="V24">
        <f t="shared" si="2"/>
        <v>5536.3</v>
      </c>
      <c r="W24">
        <f t="shared" si="3"/>
        <v>0</v>
      </c>
      <c r="X24">
        <f t="shared" si="4"/>
        <v>4</v>
      </c>
      <c r="Y24" cm="1">
        <f t="array" ref="Y24">_xlfn.IFS(H24=0.1,1,H24=0.15,1,H24=0.05,1,H24=0,0)</f>
        <v>0</v>
      </c>
      <c r="Z24">
        <f t="shared" si="5"/>
        <v>0</v>
      </c>
      <c r="AA24">
        <f t="shared" si="6"/>
        <v>2024</v>
      </c>
    </row>
    <row r="25" spans="1:27" x14ac:dyDescent="0.3">
      <c r="A25" s="2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4821.7440000000006</v>
      </c>
      <c r="K25" t="s">
        <v>58</v>
      </c>
      <c r="L25" t="s">
        <v>59</v>
      </c>
      <c r="M25">
        <v>0</v>
      </c>
      <c r="N25" t="s">
        <v>102</v>
      </c>
      <c r="O25" t="s">
        <v>103</v>
      </c>
      <c r="P25">
        <v>27.97</v>
      </c>
      <c r="Q25" s="2">
        <v>45144</v>
      </c>
      <c r="R25" s="2">
        <v>45152</v>
      </c>
      <c r="S25" t="s">
        <v>50</v>
      </c>
      <c r="T25">
        <f t="shared" si="0"/>
        <v>4849.7140000000009</v>
      </c>
      <c r="U25">
        <f t="shared" si="1"/>
        <v>15</v>
      </c>
      <c r="V25">
        <f t="shared" si="2"/>
        <v>5672.64</v>
      </c>
      <c r="W25">
        <f t="shared" si="3"/>
        <v>850.89599999999973</v>
      </c>
      <c r="X25">
        <f t="shared" si="4"/>
        <v>8</v>
      </c>
      <c r="Y25" cm="1">
        <f t="array" ref="Y25">_xlfn.IFS(H25=0.1,1,H25=0.15,1,H25=0.05,1,H25=0,0)</f>
        <v>1</v>
      </c>
      <c r="Z25">
        <f t="shared" si="5"/>
        <v>12</v>
      </c>
      <c r="AA25">
        <f t="shared" si="6"/>
        <v>2023</v>
      </c>
    </row>
    <row r="26" spans="1:27" x14ac:dyDescent="0.3">
      <c r="A26" s="2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104</v>
      </c>
      <c r="O26" t="s">
        <v>105</v>
      </c>
      <c r="P26">
        <v>46.69</v>
      </c>
      <c r="Q26" s="2">
        <v>45435</v>
      </c>
      <c r="R26" s="2">
        <v>45442</v>
      </c>
      <c r="S26" t="s">
        <v>44</v>
      </c>
      <c r="T26">
        <f t="shared" si="0"/>
        <v>1486.74</v>
      </c>
      <c r="U26">
        <f t="shared" si="1"/>
        <v>0</v>
      </c>
      <c r="V26">
        <f t="shared" si="2"/>
        <v>1440.05</v>
      </c>
      <c r="W26">
        <f t="shared" si="3"/>
        <v>0</v>
      </c>
      <c r="X26">
        <f t="shared" si="4"/>
        <v>7</v>
      </c>
      <c r="Y26" cm="1">
        <f t="array" ref="Y26">_xlfn.IFS(H26=0.1,1,H26=0.15,1,H26=0.05,1,H26=0,0)</f>
        <v>0</v>
      </c>
      <c r="Z26">
        <f t="shared" si="5"/>
        <v>0</v>
      </c>
      <c r="AA26">
        <f t="shared" si="6"/>
        <v>2024</v>
      </c>
    </row>
    <row r="27" spans="1:27" x14ac:dyDescent="0.3">
      <c r="A27" s="2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106</v>
      </c>
      <c r="O27" t="s">
        <v>107</v>
      </c>
      <c r="P27">
        <v>38.130000000000003</v>
      </c>
      <c r="Q27" s="2">
        <v>45222</v>
      </c>
      <c r="R27" s="2">
        <v>45227</v>
      </c>
      <c r="S27" t="s">
        <v>28</v>
      </c>
      <c r="T27">
        <f t="shared" si="0"/>
        <v>7347.9000000000005</v>
      </c>
      <c r="U27">
        <f t="shared" si="1"/>
        <v>0</v>
      </c>
      <c r="V27">
        <f t="shared" si="2"/>
        <v>7309.7699999999995</v>
      </c>
      <c r="W27">
        <f t="shared" si="3"/>
        <v>0</v>
      </c>
      <c r="X27">
        <f t="shared" si="4"/>
        <v>5</v>
      </c>
      <c r="Y27" cm="1">
        <f t="array" ref="Y27">_xlfn.IFS(H27=0.1,1,H27=0.15,1,H27=0.05,1,H27=0,0)</f>
        <v>0</v>
      </c>
      <c r="Z27">
        <f t="shared" si="5"/>
        <v>0</v>
      </c>
      <c r="AA27">
        <f t="shared" si="6"/>
        <v>2023</v>
      </c>
    </row>
    <row r="28" spans="1:27" x14ac:dyDescent="0.3">
      <c r="A28" s="2">
        <v>45824</v>
      </c>
      <c r="B28" t="s">
        <v>71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62</v>
      </c>
      <c r="L28" t="s">
        <v>41</v>
      </c>
      <c r="M28">
        <v>0</v>
      </c>
      <c r="N28" t="s">
        <v>108</v>
      </c>
      <c r="O28" t="s">
        <v>109</v>
      </c>
      <c r="P28">
        <v>11.59</v>
      </c>
      <c r="Q28" s="2">
        <v>45824</v>
      </c>
      <c r="R28" s="2">
        <v>45833</v>
      </c>
      <c r="S28" t="s">
        <v>74</v>
      </c>
      <c r="T28">
        <f t="shared" si="0"/>
        <v>113.32000000000001</v>
      </c>
      <c r="U28">
        <f t="shared" si="1"/>
        <v>0</v>
      </c>
      <c r="V28">
        <f t="shared" si="2"/>
        <v>101.73</v>
      </c>
      <c r="W28">
        <f t="shared" si="3"/>
        <v>0</v>
      </c>
      <c r="X28">
        <f t="shared" si="4"/>
        <v>9</v>
      </c>
      <c r="Y28" cm="1">
        <f t="array" ref="Y28">_xlfn.IFS(H28=0.1,1,H28=0.15,1,H28=0.05,1,H28=0,0)</f>
        <v>0</v>
      </c>
      <c r="Z28">
        <f t="shared" si="5"/>
        <v>0</v>
      </c>
      <c r="AA28">
        <f t="shared" si="6"/>
        <v>2025</v>
      </c>
    </row>
    <row r="29" spans="1:27" x14ac:dyDescent="0.3">
      <c r="A29" s="2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110</v>
      </c>
      <c r="O29" t="s">
        <v>111</v>
      </c>
      <c r="P29">
        <v>24.78</v>
      </c>
      <c r="Q29" s="2">
        <v>44988</v>
      </c>
      <c r="R29" s="2">
        <v>44993</v>
      </c>
      <c r="S29" t="s">
        <v>44</v>
      </c>
      <c r="T29">
        <f t="shared" si="0"/>
        <v>1142.74</v>
      </c>
      <c r="U29">
        <f t="shared" si="1"/>
        <v>0</v>
      </c>
      <c r="V29">
        <f t="shared" si="2"/>
        <v>1117.96</v>
      </c>
      <c r="W29">
        <f t="shared" si="3"/>
        <v>0</v>
      </c>
      <c r="X29">
        <f t="shared" si="4"/>
        <v>5</v>
      </c>
      <c r="Y29" cm="1">
        <f t="array" ref="Y29">_xlfn.IFS(H29=0.1,1,H29=0.15,1,H29=0.05,1,H29=0,0)</f>
        <v>0</v>
      </c>
      <c r="Z29">
        <f t="shared" si="5"/>
        <v>0</v>
      </c>
      <c r="AA29">
        <f t="shared" si="6"/>
        <v>2023</v>
      </c>
    </row>
    <row r="30" spans="1:27" x14ac:dyDescent="0.3">
      <c r="A30" s="2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62</v>
      </c>
      <c r="L30" t="s">
        <v>35</v>
      </c>
      <c r="M30">
        <v>1</v>
      </c>
      <c r="N30" t="s">
        <v>112</v>
      </c>
      <c r="O30" t="s">
        <v>113</v>
      </c>
      <c r="P30">
        <v>7.61</v>
      </c>
      <c r="Q30" s="2">
        <v>45614</v>
      </c>
      <c r="R30" s="2">
        <v>45617</v>
      </c>
      <c r="S30" t="s">
        <v>38</v>
      </c>
      <c r="T30">
        <f t="shared" si="0"/>
        <v>160.37750000000003</v>
      </c>
      <c r="U30">
        <f t="shared" si="1"/>
        <v>15</v>
      </c>
      <c r="V30">
        <f t="shared" si="2"/>
        <v>178.55</v>
      </c>
      <c r="W30">
        <f t="shared" si="3"/>
        <v>26.782499999999999</v>
      </c>
      <c r="X30">
        <f t="shared" si="4"/>
        <v>3</v>
      </c>
      <c r="Y30" cm="1">
        <f t="array" ref="Y30">_xlfn.IFS(H30=0.1,1,H30=0.15,1,H30=0.05,1,H30=0,0)</f>
        <v>1</v>
      </c>
      <c r="Z30">
        <f t="shared" si="5"/>
        <v>1</v>
      </c>
      <c r="AA30">
        <f t="shared" si="6"/>
        <v>2024</v>
      </c>
    </row>
    <row r="31" spans="1:27" x14ac:dyDescent="0.3">
      <c r="A31" s="2">
        <v>45055</v>
      </c>
      <c r="B31" t="s">
        <v>45</v>
      </c>
      <c r="C31" t="s">
        <v>81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114</v>
      </c>
      <c r="O31" t="s">
        <v>115</v>
      </c>
      <c r="P31">
        <v>33.17</v>
      </c>
      <c r="Q31" s="2">
        <v>45055</v>
      </c>
      <c r="R31" s="2">
        <v>45063</v>
      </c>
      <c r="S31" t="s">
        <v>50</v>
      </c>
      <c r="T31">
        <f t="shared" si="0"/>
        <v>458.03300000000002</v>
      </c>
      <c r="U31">
        <f t="shared" si="1"/>
        <v>10</v>
      </c>
      <c r="V31">
        <f t="shared" si="2"/>
        <v>472.07</v>
      </c>
      <c r="W31">
        <f t="shared" si="3"/>
        <v>47.206999999999994</v>
      </c>
      <c r="X31">
        <f t="shared" si="4"/>
        <v>8</v>
      </c>
      <c r="Y31" cm="1">
        <f t="array" ref="Y31">_xlfn.IFS(H31=0.1,1,H31=0.15,1,H31=0.05,1,H31=0,0)</f>
        <v>1</v>
      </c>
      <c r="Z31">
        <f t="shared" si="5"/>
        <v>1</v>
      </c>
      <c r="AA31">
        <f t="shared" si="6"/>
        <v>2023</v>
      </c>
    </row>
    <row r="32" spans="1:27" x14ac:dyDescent="0.3">
      <c r="A32" s="2">
        <v>45633</v>
      </c>
      <c r="B32" t="s">
        <v>39</v>
      </c>
      <c r="C32" t="s">
        <v>81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62</v>
      </c>
      <c r="L32" t="s">
        <v>35</v>
      </c>
      <c r="M32">
        <v>0</v>
      </c>
      <c r="N32" t="s">
        <v>116</v>
      </c>
      <c r="O32" t="s">
        <v>117</v>
      </c>
      <c r="P32">
        <v>37.380000000000003</v>
      </c>
      <c r="Q32" s="2">
        <v>45633</v>
      </c>
      <c r="R32" s="2">
        <v>45640</v>
      </c>
      <c r="S32" t="s">
        <v>44</v>
      </c>
      <c r="T32">
        <f t="shared" si="0"/>
        <v>3712.86</v>
      </c>
      <c r="U32">
        <f t="shared" si="1"/>
        <v>0</v>
      </c>
      <c r="V32">
        <f t="shared" si="2"/>
        <v>3675.4800000000005</v>
      </c>
      <c r="W32">
        <f t="shared" si="3"/>
        <v>0</v>
      </c>
      <c r="X32">
        <f t="shared" si="4"/>
        <v>7</v>
      </c>
      <c r="Y32" cm="1">
        <f t="array" ref="Y32">_xlfn.IFS(H32=0.1,1,H32=0.15,1,H32=0.05,1,H32=0,0)</f>
        <v>0</v>
      </c>
      <c r="Z32">
        <f t="shared" si="5"/>
        <v>0</v>
      </c>
      <c r="AA32">
        <f t="shared" si="6"/>
        <v>2024</v>
      </c>
    </row>
    <row r="33" spans="1:27" x14ac:dyDescent="0.3">
      <c r="A33" s="2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118</v>
      </c>
      <c r="O33" t="s">
        <v>119</v>
      </c>
      <c r="P33">
        <v>12.35</v>
      </c>
      <c r="Q33" s="2">
        <v>45335</v>
      </c>
      <c r="R33" s="2">
        <v>45337</v>
      </c>
      <c r="S33" t="s">
        <v>44</v>
      </c>
      <c r="T33">
        <f t="shared" si="0"/>
        <v>2599.2314999999999</v>
      </c>
      <c r="U33">
        <f t="shared" si="1"/>
        <v>15</v>
      </c>
      <c r="V33">
        <f t="shared" si="2"/>
        <v>3043.39</v>
      </c>
      <c r="W33">
        <f t="shared" si="3"/>
        <v>456.50849999999991</v>
      </c>
      <c r="X33">
        <f t="shared" si="4"/>
        <v>2</v>
      </c>
      <c r="Y33" cm="1">
        <f t="array" ref="Y33">_xlfn.IFS(H33=0.1,1,H33=0.15,1,H33=0.05,1,H33=0,0)</f>
        <v>1</v>
      </c>
      <c r="Z33">
        <f t="shared" si="5"/>
        <v>7</v>
      </c>
      <c r="AA33">
        <f t="shared" si="6"/>
        <v>2024</v>
      </c>
    </row>
    <row r="34" spans="1:27" x14ac:dyDescent="0.3">
      <c r="A34" s="2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62</v>
      </c>
      <c r="L34" t="s">
        <v>41</v>
      </c>
      <c r="M34">
        <v>0</v>
      </c>
      <c r="N34" t="s">
        <v>120</v>
      </c>
      <c r="O34" t="s">
        <v>121</v>
      </c>
      <c r="P34">
        <v>21.25</v>
      </c>
      <c r="Q34" s="2">
        <v>45725</v>
      </c>
      <c r="R34" s="2">
        <v>45731</v>
      </c>
      <c r="S34" t="s">
        <v>38</v>
      </c>
      <c r="T34">
        <f t="shared" si="0"/>
        <v>411.13</v>
      </c>
      <c r="U34">
        <f t="shared" si="1"/>
        <v>0</v>
      </c>
      <c r="V34">
        <f t="shared" si="2"/>
        <v>389.88</v>
      </c>
      <c r="W34">
        <f t="shared" si="3"/>
        <v>0</v>
      </c>
      <c r="X34">
        <f t="shared" si="4"/>
        <v>6</v>
      </c>
      <c r="Y34" cm="1">
        <f t="array" ref="Y34">_xlfn.IFS(H34=0.1,1,H34=0.15,1,H34=0.05,1,H34=0,0)</f>
        <v>0</v>
      </c>
      <c r="Z34">
        <f t="shared" si="5"/>
        <v>0</v>
      </c>
      <c r="AA34">
        <f t="shared" si="6"/>
        <v>2025</v>
      </c>
    </row>
    <row r="35" spans="1:27" x14ac:dyDescent="0.3">
      <c r="A35" s="2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L35" t="s">
        <v>59</v>
      </c>
      <c r="M35">
        <v>0</v>
      </c>
      <c r="N35" t="s">
        <v>122</v>
      </c>
      <c r="O35" t="s">
        <v>123</v>
      </c>
      <c r="P35">
        <v>17.91</v>
      </c>
      <c r="Q35" s="2">
        <v>45021</v>
      </c>
      <c r="R35" s="2">
        <v>45027</v>
      </c>
      <c r="S35" t="s">
        <v>50</v>
      </c>
      <c r="T35">
        <f t="shared" si="0"/>
        <v>8118.24</v>
      </c>
      <c r="U35">
        <f t="shared" si="1"/>
        <v>0</v>
      </c>
      <c r="V35">
        <f t="shared" si="2"/>
        <v>8100.33</v>
      </c>
      <c r="W35">
        <f t="shared" si="3"/>
        <v>0</v>
      </c>
      <c r="X35">
        <f t="shared" si="4"/>
        <v>6</v>
      </c>
      <c r="Y35" cm="1">
        <f t="array" ref="Y35">_xlfn.IFS(H35=0.1,1,H35=0.15,1,H35=0.05,1,H35=0,0)</f>
        <v>0</v>
      </c>
      <c r="Z35">
        <f t="shared" si="5"/>
        <v>0</v>
      </c>
      <c r="AA35">
        <f t="shared" si="6"/>
        <v>2023</v>
      </c>
    </row>
    <row r="36" spans="1:27" x14ac:dyDescent="0.3">
      <c r="A36" s="2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124</v>
      </c>
      <c r="O36" t="s">
        <v>125</v>
      </c>
      <c r="P36">
        <v>41.91</v>
      </c>
      <c r="Q36" s="2">
        <v>45785</v>
      </c>
      <c r="R36" s="2">
        <v>45789</v>
      </c>
      <c r="S36" t="s">
        <v>44</v>
      </c>
      <c r="T36">
        <f t="shared" si="0"/>
        <v>1944.9580000000001</v>
      </c>
      <c r="U36">
        <f t="shared" si="1"/>
        <v>15</v>
      </c>
      <c r="V36">
        <f t="shared" si="2"/>
        <v>2238.88</v>
      </c>
      <c r="W36">
        <f t="shared" si="3"/>
        <v>335.83200000000011</v>
      </c>
      <c r="X36">
        <f t="shared" si="4"/>
        <v>4</v>
      </c>
      <c r="Y36" cm="1">
        <f t="array" ref="Y36">_xlfn.IFS(H36=0.1,1,H36=0.15,1,H36=0.05,1,H36=0,0)</f>
        <v>1</v>
      </c>
      <c r="Z36">
        <f t="shared" si="5"/>
        <v>4</v>
      </c>
      <c r="AA36">
        <f t="shared" si="6"/>
        <v>2025</v>
      </c>
    </row>
    <row r="37" spans="1:27" x14ac:dyDescent="0.3">
      <c r="A37" s="2">
        <v>45172</v>
      </c>
      <c r="B37" t="s">
        <v>39</v>
      </c>
      <c r="C37" t="s">
        <v>81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L37" t="s">
        <v>59</v>
      </c>
      <c r="M37">
        <v>0</v>
      </c>
      <c r="N37" t="s">
        <v>126</v>
      </c>
      <c r="O37" t="s">
        <v>127</v>
      </c>
      <c r="P37">
        <v>12.57</v>
      </c>
      <c r="Q37" s="2">
        <v>45172</v>
      </c>
      <c r="R37" s="2">
        <v>45180</v>
      </c>
      <c r="S37" t="s">
        <v>44</v>
      </c>
      <c r="T37">
        <f t="shared" si="0"/>
        <v>1162.53</v>
      </c>
      <c r="U37">
        <f t="shared" si="1"/>
        <v>0</v>
      </c>
      <c r="V37">
        <f t="shared" si="2"/>
        <v>1149.96</v>
      </c>
      <c r="W37">
        <f t="shared" si="3"/>
        <v>0</v>
      </c>
      <c r="X37">
        <f t="shared" si="4"/>
        <v>8</v>
      </c>
      <c r="Y37" cm="1">
        <f t="array" ref="Y37">_xlfn.IFS(H37=0.1,1,H37=0.15,1,H37=0.05,1,H37=0,0)</f>
        <v>0</v>
      </c>
      <c r="Z37">
        <f t="shared" si="5"/>
        <v>0</v>
      </c>
      <c r="AA37">
        <f t="shared" si="6"/>
        <v>2023</v>
      </c>
    </row>
    <row r="38" spans="1:27" x14ac:dyDescent="0.3">
      <c r="A38" s="2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62</v>
      </c>
      <c r="L38" t="s">
        <v>25</v>
      </c>
      <c r="M38">
        <v>0</v>
      </c>
      <c r="N38" t="s">
        <v>128</v>
      </c>
      <c r="O38" t="s">
        <v>129</v>
      </c>
      <c r="P38">
        <v>40.29</v>
      </c>
      <c r="Q38" s="2">
        <v>45737</v>
      </c>
      <c r="R38" s="2">
        <v>45744</v>
      </c>
      <c r="S38" t="s">
        <v>50</v>
      </c>
      <c r="T38">
        <f t="shared" si="0"/>
        <v>2974.7354999999998</v>
      </c>
      <c r="U38">
        <f t="shared" si="1"/>
        <v>5</v>
      </c>
      <c r="V38">
        <f t="shared" si="2"/>
        <v>3088.89</v>
      </c>
      <c r="W38">
        <f t="shared" si="3"/>
        <v>154.44450000000006</v>
      </c>
      <c r="X38">
        <f t="shared" si="4"/>
        <v>7</v>
      </c>
      <c r="Y38" cm="1">
        <f t="array" ref="Y38">_xlfn.IFS(H38=0.1,1,H38=0.15,1,H38=0.05,1,H38=0,0)</f>
        <v>1</v>
      </c>
      <c r="Z38">
        <f t="shared" si="5"/>
        <v>9</v>
      </c>
      <c r="AA38">
        <f t="shared" si="6"/>
        <v>2025</v>
      </c>
    </row>
    <row r="39" spans="1:27" x14ac:dyDescent="0.3">
      <c r="A39" s="2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65</v>
      </c>
      <c r="L39" t="s">
        <v>35</v>
      </c>
      <c r="M39">
        <v>1</v>
      </c>
      <c r="N39" t="s">
        <v>130</v>
      </c>
      <c r="O39" t="s">
        <v>131</v>
      </c>
      <c r="P39">
        <v>34.97</v>
      </c>
      <c r="Q39" s="2">
        <v>45828</v>
      </c>
      <c r="R39" s="2">
        <v>45838</v>
      </c>
      <c r="S39" t="s">
        <v>38</v>
      </c>
      <c r="T39">
        <f t="shared" si="0"/>
        <v>1826.9794999999999</v>
      </c>
      <c r="U39">
        <f t="shared" si="1"/>
        <v>15</v>
      </c>
      <c r="V39">
        <f t="shared" si="2"/>
        <v>2107.0699999999997</v>
      </c>
      <c r="W39">
        <f t="shared" si="3"/>
        <v>316.06049999999982</v>
      </c>
      <c r="X39">
        <f t="shared" si="4"/>
        <v>10</v>
      </c>
      <c r="Y39" cm="1">
        <f t="array" ref="Y39">_xlfn.IFS(H39=0.1,1,H39=0.15,1,H39=0.05,1,H39=0,0)</f>
        <v>1</v>
      </c>
      <c r="Z39">
        <f t="shared" si="5"/>
        <v>7</v>
      </c>
      <c r="AA39">
        <f t="shared" si="6"/>
        <v>2025</v>
      </c>
    </row>
    <row r="40" spans="1:27" x14ac:dyDescent="0.3">
      <c r="A40" s="2">
        <v>45337</v>
      </c>
      <c r="B40" t="s">
        <v>45</v>
      </c>
      <c r="C40" t="s">
        <v>132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68</v>
      </c>
      <c r="J40">
        <v>5394.4380000000001</v>
      </c>
      <c r="K40" t="s">
        <v>65</v>
      </c>
      <c r="L40" t="s">
        <v>59</v>
      </c>
      <c r="M40">
        <v>1</v>
      </c>
      <c r="N40" t="s">
        <v>133</v>
      </c>
      <c r="O40" t="s">
        <v>134</v>
      </c>
      <c r="P40">
        <v>24.77</v>
      </c>
      <c r="Q40" s="2">
        <v>45337</v>
      </c>
      <c r="R40" s="2">
        <v>45347</v>
      </c>
      <c r="S40" t="s">
        <v>50</v>
      </c>
      <c r="T40">
        <f t="shared" si="0"/>
        <v>5420.2080000000005</v>
      </c>
      <c r="U40">
        <f t="shared" si="1"/>
        <v>10</v>
      </c>
      <c r="V40">
        <f t="shared" si="2"/>
        <v>5993.82</v>
      </c>
      <c r="W40">
        <f t="shared" si="3"/>
        <v>599.38199999999961</v>
      </c>
      <c r="X40">
        <f t="shared" si="4"/>
        <v>10</v>
      </c>
      <c r="Y40" cm="1">
        <f t="array" ref="Y40">_xlfn.IFS(H40=0.1,1,H40=0.15,1,H40=0.05,1,H40=0,0)</f>
        <v>1</v>
      </c>
      <c r="Z40">
        <f t="shared" si="5"/>
        <v>14</v>
      </c>
      <c r="AA40">
        <f t="shared" si="6"/>
        <v>2024</v>
      </c>
    </row>
    <row r="41" spans="1:27" x14ac:dyDescent="0.3">
      <c r="A41" s="2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855.57599999999991</v>
      </c>
      <c r="K41" t="s">
        <v>34</v>
      </c>
      <c r="L41" t="s">
        <v>59</v>
      </c>
      <c r="M41">
        <v>0</v>
      </c>
      <c r="N41" t="s">
        <v>135</v>
      </c>
      <c r="O41" t="s">
        <v>136</v>
      </c>
      <c r="P41">
        <v>34.79</v>
      </c>
      <c r="Q41" s="2">
        <v>45086</v>
      </c>
      <c r="R41" s="2">
        <v>45094</v>
      </c>
      <c r="S41" t="s">
        <v>50</v>
      </c>
      <c r="T41">
        <f t="shared" si="0"/>
        <v>890.36599999999987</v>
      </c>
      <c r="U41">
        <f t="shared" si="1"/>
        <v>15</v>
      </c>
      <c r="V41">
        <f t="shared" si="2"/>
        <v>1006.56</v>
      </c>
      <c r="W41">
        <f t="shared" si="3"/>
        <v>150.98400000000004</v>
      </c>
      <c r="X41">
        <f t="shared" si="4"/>
        <v>8</v>
      </c>
      <c r="Y41" cm="1">
        <f t="array" ref="Y41">_xlfn.IFS(H41=0.1,1,H41=0.15,1,H41=0.05,1,H41=0,0)</f>
        <v>1</v>
      </c>
      <c r="Z41">
        <f t="shared" si="5"/>
        <v>2</v>
      </c>
      <c r="AA41">
        <f t="shared" si="6"/>
        <v>2023</v>
      </c>
    </row>
    <row r="42" spans="1:27" x14ac:dyDescent="0.3">
      <c r="A42" s="2">
        <v>45148</v>
      </c>
      <c r="B42" t="s">
        <v>29</v>
      </c>
      <c r="C42" t="s">
        <v>132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62</v>
      </c>
      <c r="L42" t="s">
        <v>35</v>
      </c>
      <c r="M42">
        <v>0</v>
      </c>
      <c r="N42" t="s">
        <v>137</v>
      </c>
      <c r="O42" t="s">
        <v>138</v>
      </c>
      <c r="P42">
        <v>17.77</v>
      </c>
      <c r="Q42" s="2">
        <v>45148</v>
      </c>
      <c r="R42" s="2">
        <v>45152</v>
      </c>
      <c r="S42" t="s">
        <v>38</v>
      </c>
      <c r="T42">
        <f t="shared" si="0"/>
        <v>2134.21</v>
      </c>
      <c r="U42">
        <f t="shared" si="1"/>
        <v>10</v>
      </c>
      <c r="V42">
        <f t="shared" si="2"/>
        <v>2351.6</v>
      </c>
      <c r="W42">
        <f t="shared" si="3"/>
        <v>235.15999999999985</v>
      </c>
      <c r="X42">
        <f t="shared" si="4"/>
        <v>4</v>
      </c>
      <c r="Y42" cm="1">
        <f t="array" ref="Y42">_xlfn.IFS(H42=0.1,1,H42=0.15,1,H42=0.05,1,H42=0,0)</f>
        <v>1</v>
      </c>
      <c r="Z42">
        <f t="shared" si="5"/>
        <v>5</v>
      </c>
      <c r="AA42">
        <f t="shared" si="6"/>
        <v>2023</v>
      </c>
    </row>
    <row r="43" spans="1:27" x14ac:dyDescent="0.3">
      <c r="A43" s="2">
        <v>45459</v>
      </c>
      <c r="B43" t="s">
        <v>45</v>
      </c>
      <c r="C43" t="s">
        <v>132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139</v>
      </c>
      <c r="O43" t="s">
        <v>140</v>
      </c>
      <c r="P43">
        <v>21.72</v>
      </c>
      <c r="Q43" s="2">
        <v>45459</v>
      </c>
      <c r="R43" s="2">
        <v>45468</v>
      </c>
      <c r="S43" t="s">
        <v>50</v>
      </c>
      <c r="T43">
        <f t="shared" si="0"/>
        <v>1259.95</v>
      </c>
      <c r="U43">
        <f t="shared" si="1"/>
        <v>5</v>
      </c>
      <c r="V43">
        <f t="shared" si="2"/>
        <v>1303.4000000000001</v>
      </c>
      <c r="W43">
        <f t="shared" si="3"/>
        <v>65.170000000000073</v>
      </c>
      <c r="X43">
        <f t="shared" si="4"/>
        <v>9</v>
      </c>
      <c r="Y43" cm="1">
        <f t="array" ref="Y43">_xlfn.IFS(H43=0.1,1,H43=0.15,1,H43=0.05,1,H43=0,0)</f>
        <v>1</v>
      </c>
      <c r="Z43">
        <f t="shared" si="5"/>
        <v>20</v>
      </c>
      <c r="AA43">
        <f t="shared" si="6"/>
        <v>2024</v>
      </c>
    </row>
    <row r="44" spans="1:27" x14ac:dyDescent="0.3">
      <c r="A44" s="2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141</v>
      </c>
      <c r="O44" t="s">
        <v>142</v>
      </c>
      <c r="P44">
        <v>34.85</v>
      </c>
      <c r="Q44" s="2">
        <v>45130</v>
      </c>
      <c r="R44" s="2">
        <v>45133</v>
      </c>
      <c r="S44" t="s">
        <v>38</v>
      </c>
      <c r="T44">
        <f t="shared" si="0"/>
        <v>468.89000000000004</v>
      </c>
      <c r="U44">
        <f t="shared" si="1"/>
        <v>0</v>
      </c>
      <c r="V44">
        <f t="shared" si="2"/>
        <v>434.04</v>
      </c>
      <c r="W44">
        <f t="shared" si="3"/>
        <v>0</v>
      </c>
      <c r="X44">
        <f t="shared" si="4"/>
        <v>3</v>
      </c>
      <c r="Y44" cm="1">
        <f t="array" ref="Y44">_xlfn.IFS(H44=0.1,1,H44=0.15,1,H44=0.05,1,H44=0,0)</f>
        <v>0</v>
      </c>
      <c r="Z44">
        <f t="shared" si="5"/>
        <v>0</v>
      </c>
      <c r="AA44">
        <f t="shared" si="6"/>
        <v>2023</v>
      </c>
    </row>
    <row r="45" spans="1:27" x14ac:dyDescent="0.3">
      <c r="A45" s="2">
        <v>45066</v>
      </c>
      <c r="B45" t="s">
        <v>45</v>
      </c>
      <c r="C45" t="s">
        <v>132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143</v>
      </c>
      <c r="O45" t="s">
        <v>144</v>
      </c>
      <c r="P45">
        <v>27.39</v>
      </c>
      <c r="Q45" s="2">
        <v>45066</v>
      </c>
      <c r="R45" s="2">
        <v>45073</v>
      </c>
      <c r="S45" t="s">
        <v>50</v>
      </c>
      <c r="T45">
        <f t="shared" si="0"/>
        <v>1590.0440000000001</v>
      </c>
      <c r="U45">
        <f t="shared" si="1"/>
        <v>15</v>
      </c>
      <c r="V45">
        <f t="shared" si="2"/>
        <v>1837.24</v>
      </c>
      <c r="W45">
        <f t="shared" si="3"/>
        <v>275.58600000000001</v>
      </c>
      <c r="X45">
        <f t="shared" si="4"/>
        <v>7</v>
      </c>
      <c r="Y45" cm="1">
        <f t="array" ref="Y45">_xlfn.IFS(H45=0.1,1,H45=0.15,1,H45=0.05,1,H45=0,0)</f>
        <v>1</v>
      </c>
      <c r="Z45">
        <f t="shared" si="5"/>
        <v>4</v>
      </c>
      <c r="AA45">
        <f t="shared" si="6"/>
        <v>2023</v>
      </c>
    </row>
    <row r="46" spans="1:27" x14ac:dyDescent="0.3">
      <c r="A46" s="2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62</v>
      </c>
      <c r="L46" t="s">
        <v>35</v>
      </c>
      <c r="M46">
        <v>0</v>
      </c>
      <c r="N46" t="s">
        <v>145</v>
      </c>
      <c r="O46" t="s">
        <v>146</v>
      </c>
      <c r="P46">
        <v>11.62</v>
      </c>
      <c r="Q46" s="2">
        <v>45107</v>
      </c>
      <c r="R46" s="2">
        <v>45111</v>
      </c>
      <c r="S46" t="s">
        <v>38</v>
      </c>
      <c r="T46">
        <f t="shared" si="0"/>
        <v>802.13400000000001</v>
      </c>
      <c r="U46">
        <f t="shared" si="1"/>
        <v>5</v>
      </c>
      <c r="V46">
        <f t="shared" si="2"/>
        <v>832.12</v>
      </c>
      <c r="W46">
        <f t="shared" si="3"/>
        <v>41.605999999999995</v>
      </c>
      <c r="X46">
        <f t="shared" si="4"/>
        <v>4</v>
      </c>
      <c r="Y46" cm="1">
        <f t="array" ref="Y46">_xlfn.IFS(H46=0.1,1,H46=0.15,1,H46=0.05,1,H46=0,0)</f>
        <v>1</v>
      </c>
      <c r="Z46">
        <f t="shared" si="5"/>
        <v>2</v>
      </c>
      <c r="AA46">
        <f t="shared" si="6"/>
        <v>2023</v>
      </c>
    </row>
    <row r="47" spans="1:27" x14ac:dyDescent="0.3">
      <c r="A47" s="2">
        <v>45447</v>
      </c>
      <c r="B47" t="s">
        <v>29</v>
      </c>
      <c r="C47" t="s">
        <v>81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147</v>
      </c>
      <c r="O47" t="s">
        <v>148</v>
      </c>
      <c r="P47">
        <v>20.76</v>
      </c>
      <c r="Q47" s="2">
        <v>45447</v>
      </c>
      <c r="R47" s="2">
        <v>45457</v>
      </c>
      <c r="S47" t="s">
        <v>38</v>
      </c>
      <c r="T47">
        <f t="shared" si="0"/>
        <v>4863.04</v>
      </c>
      <c r="U47">
        <f t="shared" si="1"/>
        <v>0</v>
      </c>
      <c r="V47">
        <f t="shared" si="2"/>
        <v>4841.28</v>
      </c>
      <c r="W47">
        <f t="shared" si="3"/>
        <v>0</v>
      </c>
      <c r="X47">
        <f t="shared" si="4"/>
        <v>10</v>
      </c>
      <c r="Y47" cm="1">
        <f t="array" ref="Y47">_xlfn.IFS(H47=0.1,1,H47=0.15,1,H47=0.05,1,H47=0,0)</f>
        <v>0</v>
      </c>
      <c r="Z47">
        <f t="shared" si="5"/>
        <v>0</v>
      </c>
      <c r="AA47">
        <f t="shared" si="6"/>
        <v>2024</v>
      </c>
    </row>
    <row r="48" spans="1:27" x14ac:dyDescent="0.3">
      <c r="A48" s="2">
        <v>45691</v>
      </c>
      <c r="B48" t="s">
        <v>71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149</v>
      </c>
      <c r="O48" t="s">
        <v>150</v>
      </c>
      <c r="P48">
        <v>24.95</v>
      </c>
      <c r="Q48" s="2">
        <v>45691</v>
      </c>
      <c r="R48" s="2">
        <v>45693</v>
      </c>
      <c r="S48" t="s">
        <v>74</v>
      </c>
      <c r="T48">
        <f t="shared" si="0"/>
        <v>334.71549999999996</v>
      </c>
      <c r="U48">
        <f t="shared" si="1"/>
        <v>15</v>
      </c>
      <c r="V48">
        <f t="shared" si="2"/>
        <v>364.43</v>
      </c>
      <c r="W48">
        <f t="shared" si="3"/>
        <v>54.664500000000032</v>
      </c>
      <c r="X48">
        <f t="shared" si="4"/>
        <v>2</v>
      </c>
      <c r="Y48" cm="1">
        <f t="array" ref="Y48">_xlfn.IFS(H48=0.1,1,H48=0.15,1,H48=0.05,1,H48=0,0)</f>
        <v>1</v>
      </c>
      <c r="Z48">
        <f t="shared" si="5"/>
        <v>11</v>
      </c>
      <c r="AA48">
        <f t="shared" si="6"/>
        <v>2025</v>
      </c>
    </row>
    <row r="49" spans="1:27" x14ac:dyDescent="0.3">
      <c r="A49" s="2">
        <v>45300</v>
      </c>
      <c r="B49" t="s">
        <v>19</v>
      </c>
      <c r="C49" t="s">
        <v>81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151</v>
      </c>
      <c r="O49" t="s">
        <v>152</v>
      </c>
      <c r="P49">
        <v>6.47</v>
      </c>
      <c r="Q49" s="2">
        <v>45300</v>
      </c>
      <c r="R49" s="2">
        <v>45304</v>
      </c>
      <c r="S49" t="s">
        <v>28</v>
      </c>
      <c r="T49">
        <f t="shared" si="0"/>
        <v>3967.6059999999998</v>
      </c>
      <c r="U49">
        <f t="shared" si="1"/>
        <v>15</v>
      </c>
      <c r="V49">
        <f t="shared" si="2"/>
        <v>4660.16</v>
      </c>
      <c r="W49">
        <f t="shared" si="3"/>
        <v>699.02399999999989</v>
      </c>
      <c r="X49">
        <f t="shared" si="4"/>
        <v>4</v>
      </c>
      <c r="Y49" cm="1">
        <f t="array" ref="Y49">_xlfn.IFS(H49=0.1,1,H49=0.15,1,H49=0.05,1,H49=0,0)</f>
        <v>1</v>
      </c>
      <c r="Z49">
        <f t="shared" si="5"/>
        <v>8</v>
      </c>
      <c r="AA49">
        <f t="shared" si="6"/>
        <v>2024</v>
      </c>
    </row>
    <row r="50" spans="1:27" x14ac:dyDescent="0.3">
      <c r="A50" s="2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743.17500000000007</v>
      </c>
      <c r="K50" t="s">
        <v>34</v>
      </c>
      <c r="L50" t="s">
        <v>59</v>
      </c>
      <c r="M50">
        <v>0</v>
      </c>
      <c r="N50" t="s">
        <v>153</v>
      </c>
      <c r="O50" t="s">
        <v>154</v>
      </c>
      <c r="P50">
        <v>20.57</v>
      </c>
      <c r="Q50" s="2">
        <v>45365</v>
      </c>
      <c r="R50" s="2">
        <v>45367</v>
      </c>
      <c r="S50" t="s">
        <v>44</v>
      </c>
      <c r="T50">
        <f t="shared" si="0"/>
        <v>763.74500000000012</v>
      </c>
      <c r="U50">
        <f t="shared" si="1"/>
        <v>10</v>
      </c>
      <c r="V50">
        <f t="shared" si="2"/>
        <v>825.75</v>
      </c>
      <c r="W50">
        <f t="shared" si="3"/>
        <v>82.574999999999932</v>
      </c>
      <c r="X50">
        <f t="shared" si="4"/>
        <v>2</v>
      </c>
      <c r="Y50" cm="1">
        <f t="array" ref="Y50">_xlfn.IFS(H50=0.1,1,H50=0.15,1,H50=0.05,1,H50=0,0)</f>
        <v>1</v>
      </c>
      <c r="Z50">
        <f t="shared" si="5"/>
        <v>5</v>
      </c>
      <c r="AA50">
        <f t="shared" si="6"/>
        <v>2024</v>
      </c>
    </row>
    <row r="51" spans="1:27" x14ac:dyDescent="0.3">
      <c r="A51" s="2">
        <v>45541</v>
      </c>
      <c r="B51" t="s">
        <v>71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65</v>
      </c>
      <c r="L51" t="s">
        <v>41</v>
      </c>
      <c r="M51">
        <v>1</v>
      </c>
      <c r="N51" t="s">
        <v>155</v>
      </c>
      <c r="O51" t="s">
        <v>156</v>
      </c>
      <c r="P51">
        <v>20.71</v>
      </c>
      <c r="Q51" s="2">
        <v>45541</v>
      </c>
      <c r="R51" s="2">
        <v>45548</v>
      </c>
      <c r="S51" t="s">
        <v>74</v>
      </c>
      <c r="T51">
        <f t="shared" si="0"/>
        <v>2911.268</v>
      </c>
      <c r="U51">
        <f t="shared" si="1"/>
        <v>15</v>
      </c>
      <c r="V51">
        <f t="shared" si="2"/>
        <v>3399.48</v>
      </c>
      <c r="W51">
        <f t="shared" si="3"/>
        <v>509.92200000000003</v>
      </c>
      <c r="X51">
        <f t="shared" si="4"/>
        <v>7</v>
      </c>
      <c r="Y51" cm="1">
        <f t="array" ref="Y51">_xlfn.IFS(H51=0.1,1,H51=0.15,1,H51=0.05,1,H51=0,0)</f>
        <v>1</v>
      </c>
      <c r="Z51">
        <f t="shared" si="5"/>
        <v>14</v>
      </c>
      <c r="AA51">
        <f t="shared" si="6"/>
        <v>2024</v>
      </c>
    </row>
    <row r="52" spans="1:27" x14ac:dyDescent="0.3">
      <c r="A52" s="2">
        <v>45002</v>
      </c>
      <c r="B52" t="s">
        <v>19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65</v>
      </c>
      <c r="L52" t="s">
        <v>41</v>
      </c>
      <c r="M52">
        <v>0</v>
      </c>
      <c r="N52" t="s">
        <v>157</v>
      </c>
      <c r="O52" t="s">
        <v>158</v>
      </c>
      <c r="P52">
        <v>12.87</v>
      </c>
      <c r="Q52" s="2">
        <v>45002</v>
      </c>
      <c r="R52" s="2">
        <v>45005</v>
      </c>
      <c r="S52" t="s">
        <v>28</v>
      </c>
      <c r="T52">
        <f t="shared" si="0"/>
        <v>784.95299999999997</v>
      </c>
      <c r="U52">
        <f t="shared" si="1"/>
        <v>10</v>
      </c>
      <c r="V52">
        <f t="shared" si="2"/>
        <v>857.86999999999989</v>
      </c>
      <c r="W52">
        <f t="shared" si="3"/>
        <v>85.786999999999921</v>
      </c>
      <c r="X52">
        <f t="shared" si="4"/>
        <v>3</v>
      </c>
      <c r="Y52" cm="1">
        <f t="array" ref="Y52">_xlfn.IFS(H52=0.1,1,H52=0.15,1,H52=0.05,1,H52=0,0)</f>
        <v>1</v>
      </c>
      <c r="Z52">
        <f t="shared" si="5"/>
        <v>13</v>
      </c>
      <c r="AA52">
        <f t="shared" si="6"/>
        <v>2023</v>
      </c>
    </row>
    <row r="53" spans="1:27" x14ac:dyDescent="0.3">
      <c r="A53" s="2">
        <v>45674</v>
      </c>
      <c r="B53" t="s">
        <v>71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62</v>
      </c>
      <c r="L53" t="s">
        <v>25</v>
      </c>
      <c r="M53">
        <v>0</v>
      </c>
      <c r="N53" t="s">
        <v>159</v>
      </c>
      <c r="O53" t="s">
        <v>160</v>
      </c>
      <c r="P53">
        <v>42.49</v>
      </c>
      <c r="Q53" s="2">
        <v>45674</v>
      </c>
      <c r="R53" s="2">
        <v>45681</v>
      </c>
      <c r="S53" t="s">
        <v>74</v>
      </c>
      <c r="T53">
        <f t="shared" si="0"/>
        <v>545.87</v>
      </c>
      <c r="U53">
        <f t="shared" si="1"/>
        <v>0</v>
      </c>
      <c r="V53">
        <f t="shared" si="2"/>
        <v>503.38</v>
      </c>
      <c r="W53">
        <f t="shared" si="3"/>
        <v>0</v>
      </c>
      <c r="X53">
        <f t="shared" si="4"/>
        <v>7</v>
      </c>
      <c r="Y53" cm="1">
        <f t="array" ref="Y53">_xlfn.IFS(H53=0.1,1,H53=0.15,1,H53=0.05,1,H53=0,0)</f>
        <v>0</v>
      </c>
      <c r="Z53">
        <f t="shared" si="5"/>
        <v>0</v>
      </c>
      <c r="AA53">
        <f t="shared" si="6"/>
        <v>2025</v>
      </c>
    </row>
    <row r="54" spans="1:27" x14ac:dyDescent="0.3">
      <c r="A54" s="2">
        <v>45547</v>
      </c>
      <c r="B54" t="s">
        <v>29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65</v>
      </c>
      <c r="L54" t="s">
        <v>41</v>
      </c>
      <c r="M54">
        <v>1</v>
      </c>
      <c r="N54" t="s">
        <v>161</v>
      </c>
      <c r="O54" t="s">
        <v>162</v>
      </c>
      <c r="P54">
        <v>19.22</v>
      </c>
      <c r="Q54" s="2">
        <v>45547</v>
      </c>
      <c r="R54" s="2">
        <v>45553</v>
      </c>
      <c r="S54" t="s">
        <v>38</v>
      </c>
      <c r="T54">
        <f t="shared" si="0"/>
        <v>262.68899999999996</v>
      </c>
      <c r="U54">
        <f t="shared" si="1"/>
        <v>10</v>
      </c>
      <c r="V54">
        <f t="shared" si="2"/>
        <v>269.41000000000003</v>
      </c>
      <c r="W54">
        <f t="shared" si="3"/>
        <v>26.941000000000031</v>
      </c>
      <c r="X54">
        <f t="shared" si="4"/>
        <v>6</v>
      </c>
      <c r="Y54" cm="1">
        <f t="array" ref="Y54">_xlfn.IFS(H54=0.1,1,H54=0.15,1,H54=0.05,1,H54=0,0)</f>
        <v>1</v>
      </c>
      <c r="Z54">
        <f t="shared" si="5"/>
        <v>1</v>
      </c>
      <c r="AA54">
        <f t="shared" si="6"/>
        <v>2024</v>
      </c>
    </row>
    <row r="55" spans="1:27" x14ac:dyDescent="0.3">
      <c r="A55" s="2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68</v>
      </c>
      <c r="J55">
        <v>705.47</v>
      </c>
      <c r="K55" t="s">
        <v>58</v>
      </c>
      <c r="L55" t="s">
        <v>35</v>
      </c>
      <c r="M55">
        <v>0</v>
      </c>
      <c r="N55" t="s">
        <v>163</v>
      </c>
      <c r="O55" t="s">
        <v>164</v>
      </c>
      <c r="P55">
        <v>36.51</v>
      </c>
      <c r="Q55" s="2">
        <v>45296</v>
      </c>
      <c r="R55" s="2">
        <v>45306</v>
      </c>
      <c r="S55" t="s">
        <v>38</v>
      </c>
      <c r="T55">
        <f t="shared" si="0"/>
        <v>741.98</v>
      </c>
      <c r="U55">
        <f t="shared" si="1"/>
        <v>5</v>
      </c>
      <c r="V55">
        <f t="shared" si="2"/>
        <v>742.6</v>
      </c>
      <c r="W55">
        <f t="shared" si="3"/>
        <v>37.129999999999995</v>
      </c>
      <c r="X55">
        <f t="shared" si="4"/>
        <v>10</v>
      </c>
      <c r="Y55" cm="1">
        <f t="array" ref="Y55">_xlfn.IFS(H55=0.1,1,H55=0.15,1,H55=0.05,1,H55=0,0)</f>
        <v>1</v>
      </c>
      <c r="Z55">
        <f t="shared" si="5"/>
        <v>2</v>
      </c>
      <c r="AA55">
        <f t="shared" si="6"/>
        <v>2024</v>
      </c>
    </row>
    <row r="56" spans="1:27" x14ac:dyDescent="0.3">
      <c r="A56" s="2">
        <v>45401</v>
      </c>
      <c r="B56" t="s">
        <v>71</v>
      </c>
      <c r="C56" t="s">
        <v>81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L56" t="s">
        <v>59</v>
      </c>
      <c r="M56">
        <v>0</v>
      </c>
      <c r="N56" t="s">
        <v>165</v>
      </c>
      <c r="O56" t="s">
        <v>166</v>
      </c>
      <c r="P56">
        <v>37.39</v>
      </c>
      <c r="Q56" s="2">
        <v>45401</v>
      </c>
      <c r="R56" s="2">
        <v>45407</v>
      </c>
      <c r="S56" t="s">
        <v>74</v>
      </c>
      <c r="T56">
        <f t="shared" si="0"/>
        <v>2732.4339999999997</v>
      </c>
      <c r="U56">
        <f t="shared" si="1"/>
        <v>15</v>
      </c>
      <c r="V56">
        <f t="shared" si="2"/>
        <v>3170.6400000000003</v>
      </c>
      <c r="W56">
        <f t="shared" si="3"/>
        <v>475.59600000000046</v>
      </c>
      <c r="X56">
        <f t="shared" si="4"/>
        <v>6</v>
      </c>
      <c r="Y56" cm="1">
        <f t="array" ref="Y56">_xlfn.IFS(H56=0.1,1,H56=0.15,1,H56=0.05,1,H56=0,0)</f>
        <v>1</v>
      </c>
      <c r="Z56">
        <f t="shared" si="5"/>
        <v>11</v>
      </c>
      <c r="AA56">
        <f t="shared" si="6"/>
        <v>2024</v>
      </c>
    </row>
    <row r="57" spans="1:27" x14ac:dyDescent="0.3">
      <c r="A57" s="2">
        <v>45819</v>
      </c>
      <c r="B57" t="s">
        <v>45</v>
      </c>
      <c r="C57" t="s">
        <v>81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167</v>
      </c>
      <c r="O57" t="s">
        <v>168</v>
      </c>
      <c r="P57">
        <v>36.33</v>
      </c>
      <c r="Q57" s="2">
        <v>45819</v>
      </c>
      <c r="R57" s="2">
        <v>45829</v>
      </c>
      <c r="S57" t="s">
        <v>50</v>
      </c>
      <c r="T57">
        <f t="shared" si="0"/>
        <v>2468.5675000000001</v>
      </c>
      <c r="U57">
        <f t="shared" si="1"/>
        <v>5</v>
      </c>
      <c r="V57">
        <f t="shared" si="2"/>
        <v>2560.25</v>
      </c>
      <c r="W57">
        <f t="shared" si="3"/>
        <v>128.01249999999982</v>
      </c>
      <c r="X57">
        <f t="shared" si="4"/>
        <v>10</v>
      </c>
      <c r="Y57" cm="1">
        <f t="array" ref="Y57">_xlfn.IFS(H57=0.1,1,H57=0.15,1,H57=0.05,1,H57=0,0)</f>
        <v>1</v>
      </c>
      <c r="Z57">
        <f t="shared" si="5"/>
        <v>11</v>
      </c>
      <c r="AA57">
        <f t="shared" si="6"/>
        <v>2025</v>
      </c>
    </row>
    <row r="58" spans="1:27" x14ac:dyDescent="0.3">
      <c r="A58" s="2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65</v>
      </c>
      <c r="L58" t="s">
        <v>35</v>
      </c>
      <c r="M58">
        <v>0</v>
      </c>
      <c r="N58" t="s">
        <v>169</v>
      </c>
      <c r="O58" t="s">
        <v>170</v>
      </c>
      <c r="P58">
        <v>7.84</v>
      </c>
      <c r="Q58" s="2">
        <v>45722</v>
      </c>
      <c r="R58" s="2">
        <v>45731</v>
      </c>
      <c r="S58" t="s">
        <v>28</v>
      </c>
      <c r="T58">
        <f t="shared" si="0"/>
        <v>2121.5860000000002</v>
      </c>
      <c r="U58">
        <f t="shared" si="1"/>
        <v>15</v>
      </c>
      <c r="V58">
        <f t="shared" si="2"/>
        <v>2486.7600000000002</v>
      </c>
      <c r="W58">
        <f t="shared" si="3"/>
        <v>373.01400000000012</v>
      </c>
      <c r="X58">
        <f t="shared" si="4"/>
        <v>9</v>
      </c>
      <c r="Y58" cm="1">
        <f t="array" ref="Y58">_xlfn.IFS(H58=0.1,1,H58=0.15,1,H58=0.05,1,H58=0,0)</f>
        <v>1</v>
      </c>
      <c r="Z58">
        <f t="shared" si="5"/>
        <v>17</v>
      </c>
      <c r="AA58">
        <f t="shared" si="6"/>
        <v>2025</v>
      </c>
    </row>
    <row r="59" spans="1:27" x14ac:dyDescent="0.3">
      <c r="A59" s="2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171</v>
      </c>
      <c r="O59" t="s">
        <v>172</v>
      </c>
      <c r="P59">
        <v>18.350000000000001</v>
      </c>
      <c r="Q59" s="2">
        <v>45070</v>
      </c>
      <c r="R59" s="2">
        <v>45072</v>
      </c>
      <c r="S59" t="s">
        <v>28</v>
      </c>
      <c r="T59">
        <f t="shared" si="0"/>
        <v>471.06</v>
      </c>
      <c r="U59">
        <f t="shared" si="1"/>
        <v>10</v>
      </c>
      <c r="V59">
        <f t="shared" si="2"/>
        <v>501.9</v>
      </c>
      <c r="W59">
        <f t="shared" si="3"/>
        <v>50.19</v>
      </c>
      <c r="X59">
        <f t="shared" si="4"/>
        <v>2</v>
      </c>
      <c r="Y59" cm="1">
        <f t="array" ref="Y59">_xlfn.IFS(H59=0.1,1,H59=0.15,1,H59=0.05,1,H59=0,0)</f>
        <v>1</v>
      </c>
      <c r="Z59">
        <f t="shared" si="5"/>
        <v>5</v>
      </c>
      <c r="AA59">
        <f t="shared" si="6"/>
        <v>2023</v>
      </c>
    </row>
    <row r="60" spans="1:27" x14ac:dyDescent="0.3">
      <c r="A60" s="2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68</v>
      </c>
      <c r="J60">
        <v>3923.766000000001</v>
      </c>
      <c r="K60" t="s">
        <v>62</v>
      </c>
      <c r="L60" t="s">
        <v>41</v>
      </c>
      <c r="M60">
        <v>0</v>
      </c>
      <c r="N60" t="s">
        <v>173</v>
      </c>
      <c r="O60" t="s">
        <v>174</v>
      </c>
      <c r="P60">
        <v>15.95</v>
      </c>
      <c r="Q60" s="2">
        <v>44953</v>
      </c>
      <c r="R60" s="2">
        <v>44960</v>
      </c>
      <c r="S60" t="s">
        <v>38</v>
      </c>
      <c r="T60">
        <f t="shared" si="0"/>
        <v>3939.7160000000008</v>
      </c>
      <c r="U60">
        <f t="shared" si="1"/>
        <v>5</v>
      </c>
      <c r="V60">
        <f t="shared" si="2"/>
        <v>4130.2800000000007</v>
      </c>
      <c r="W60">
        <f t="shared" si="3"/>
        <v>206.51399999999967</v>
      </c>
      <c r="X60">
        <f t="shared" si="4"/>
        <v>7</v>
      </c>
      <c r="Y60" cm="1">
        <f t="array" ref="Y60">_xlfn.IFS(H60=0.1,1,H60=0.15,1,H60=0.05,1,H60=0,0)</f>
        <v>1</v>
      </c>
      <c r="Z60">
        <f t="shared" si="5"/>
        <v>11</v>
      </c>
      <c r="AA60">
        <f t="shared" si="6"/>
        <v>2023</v>
      </c>
    </row>
    <row r="61" spans="1:27" x14ac:dyDescent="0.3">
      <c r="A61" s="2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68</v>
      </c>
      <c r="J61">
        <v>5418.8190000000004</v>
      </c>
      <c r="K61" t="s">
        <v>65</v>
      </c>
      <c r="L61" t="s">
        <v>25</v>
      </c>
      <c r="M61">
        <v>0</v>
      </c>
      <c r="N61" t="s">
        <v>175</v>
      </c>
      <c r="O61" t="s">
        <v>176</v>
      </c>
      <c r="P61">
        <v>15.69</v>
      </c>
      <c r="Q61" s="2">
        <v>45372</v>
      </c>
      <c r="R61" s="2">
        <v>45378</v>
      </c>
      <c r="S61" t="s">
        <v>38</v>
      </c>
      <c r="T61">
        <f t="shared" si="0"/>
        <v>5434.509</v>
      </c>
      <c r="U61">
        <f t="shared" si="1"/>
        <v>5</v>
      </c>
      <c r="V61">
        <f t="shared" si="2"/>
        <v>5704.0199999999995</v>
      </c>
      <c r="W61">
        <f t="shared" si="3"/>
        <v>285.20099999999911</v>
      </c>
      <c r="X61">
        <f t="shared" si="4"/>
        <v>6</v>
      </c>
      <c r="Y61" cm="1">
        <f t="array" ref="Y61">_xlfn.IFS(H61=0.1,1,H61=0.15,1,H61=0.05,1,H61=0,0)</f>
        <v>1</v>
      </c>
      <c r="Z61">
        <f t="shared" si="5"/>
        <v>18</v>
      </c>
      <c r="AA61">
        <f t="shared" si="6"/>
        <v>2024</v>
      </c>
    </row>
    <row r="62" spans="1:27" x14ac:dyDescent="0.3">
      <c r="A62" s="2">
        <v>45682</v>
      </c>
      <c r="B62" t="s">
        <v>71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177</v>
      </c>
      <c r="O62" t="s">
        <v>178</v>
      </c>
      <c r="P62">
        <v>13.66</v>
      </c>
      <c r="Q62" s="2">
        <v>45682</v>
      </c>
      <c r="R62" s="2">
        <v>45688</v>
      </c>
      <c r="S62" t="s">
        <v>74</v>
      </c>
      <c r="T62">
        <f t="shared" si="0"/>
        <v>5030.68</v>
      </c>
      <c r="U62">
        <f t="shared" si="1"/>
        <v>15</v>
      </c>
      <c r="V62">
        <f t="shared" si="2"/>
        <v>5901.2</v>
      </c>
      <c r="W62">
        <f t="shared" si="3"/>
        <v>885.17999999999938</v>
      </c>
      <c r="X62">
        <f t="shared" si="4"/>
        <v>6</v>
      </c>
      <c r="Y62" cm="1">
        <f t="array" ref="Y62">_xlfn.IFS(H62=0.1,1,H62=0.15,1,H62=0.05,1,H62=0,0)</f>
        <v>1</v>
      </c>
      <c r="Z62">
        <f t="shared" si="5"/>
        <v>20</v>
      </c>
      <c r="AA62">
        <f t="shared" si="6"/>
        <v>2025</v>
      </c>
    </row>
    <row r="63" spans="1:27" x14ac:dyDescent="0.3">
      <c r="A63" s="2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65</v>
      </c>
      <c r="L63" t="s">
        <v>35</v>
      </c>
      <c r="M63">
        <v>0</v>
      </c>
      <c r="N63" t="s">
        <v>179</v>
      </c>
      <c r="O63" t="s">
        <v>180</v>
      </c>
      <c r="P63">
        <v>36.54</v>
      </c>
      <c r="Q63" s="2">
        <v>45089</v>
      </c>
      <c r="R63" s="2">
        <v>45098</v>
      </c>
      <c r="S63" t="s">
        <v>50</v>
      </c>
      <c r="T63">
        <f t="shared" si="0"/>
        <v>2449.98</v>
      </c>
      <c r="U63">
        <f t="shared" si="1"/>
        <v>0</v>
      </c>
      <c r="V63">
        <f t="shared" si="2"/>
        <v>2413.44</v>
      </c>
      <c r="W63">
        <f t="shared" si="3"/>
        <v>0</v>
      </c>
      <c r="X63">
        <f t="shared" si="4"/>
        <v>9</v>
      </c>
      <c r="Y63" cm="1">
        <f t="array" ref="Y63">_xlfn.IFS(H63=0.1,1,H63=0.15,1,H63=0.05,1,H63=0,0)</f>
        <v>0</v>
      </c>
      <c r="Z63">
        <f t="shared" si="5"/>
        <v>0</v>
      </c>
      <c r="AA63">
        <f t="shared" si="6"/>
        <v>2023</v>
      </c>
    </row>
    <row r="64" spans="1:27" x14ac:dyDescent="0.3">
      <c r="A64" s="2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L64" t="s">
        <v>59</v>
      </c>
      <c r="M64">
        <v>0</v>
      </c>
      <c r="N64" t="s">
        <v>181</v>
      </c>
      <c r="O64" t="s">
        <v>182</v>
      </c>
      <c r="P64">
        <v>15.62</v>
      </c>
      <c r="Q64" s="2">
        <v>45738</v>
      </c>
      <c r="R64" s="2">
        <v>45742</v>
      </c>
      <c r="S64" t="s">
        <v>50</v>
      </c>
      <c r="T64">
        <f t="shared" si="0"/>
        <v>1299.173</v>
      </c>
      <c r="U64">
        <f t="shared" si="1"/>
        <v>10</v>
      </c>
      <c r="V64">
        <f t="shared" si="2"/>
        <v>1426.17</v>
      </c>
      <c r="W64">
        <f t="shared" si="3"/>
        <v>142.61699999999996</v>
      </c>
      <c r="X64">
        <f t="shared" si="4"/>
        <v>4</v>
      </c>
      <c r="Y64" cm="1">
        <f t="array" ref="Y64">_xlfn.IFS(H64=0.1,1,H64=0.15,1,H64=0.05,1,H64=0,0)</f>
        <v>1</v>
      </c>
      <c r="Z64">
        <f t="shared" si="5"/>
        <v>3</v>
      </c>
      <c r="AA64">
        <f t="shared" si="6"/>
        <v>2025</v>
      </c>
    </row>
    <row r="65" spans="1:27" x14ac:dyDescent="0.3">
      <c r="A65" s="2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68</v>
      </c>
      <c r="J65">
        <v>642.6</v>
      </c>
      <c r="K65" t="s">
        <v>62</v>
      </c>
      <c r="L65" t="s">
        <v>25</v>
      </c>
      <c r="M65">
        <v>0</v>
      </c>
      <c r="N65" t="s">
        <v>183</v>
      </c>
      <c r="O65" t="s">
        <v>184</v>
      </c>
      <c r="P65">
        <v>29.5</v>
      </c>
      <c r="Q65" s="2">
        <v>45346</v>
      </c>
      <c r="R65" s="2">
        <v>45349</v>
      </c>
      <c r="S65" t="s">
        <v>50</v>
      </c>
      <c r="T65">
        <f t="shared" si="0"/>
        <v>672.1</v>
      </c>
      <c r="U65">
        <f t="shared" si="1"/>
        <v>15</v>
      </c>
      <c r="V65">
        <f t="shared" si="2"/>
        <v>756</v>
      </c>
      <c r="W65">
        <f t="shared" si="3"/>
        <v>113.39999999999998</v>
      </c>
      <c r="X65">
        <f t="shared" si="4"/>
        <v>3</v>
      </c>
      <c r="Y65" cm="1">
        <f t="array" ref="Y65">_xlfn.IFS(H65=0.1,1,H65=0.15,1,H65=0.05,1,H65=0,0)</f>
        <v>1</v>
      </c>
      <c r="Z65">
        <f t="shared" si="5"/>
        <v>16</v>
      </c>
      <c r="AA65">
        <f t="shared" si="6"/>
        <v>2024</v>
      </c>
    </row>
    <row r="66" spans="1:27" x14ac:dyDescent="0.3">
      <c r="A66" s="2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185</v>
      </c>
      <c r="O66" t="s">
        <v>186</v>
      </c>
      <c r="P66">
        <v>21.77</v>
      </c>
      <c r="Q66" s="2">
        <v>45269</v>
      </c>
      <c r="R66" s="2">
        <v>45272</v>
      </c>
      <c r="S66" t="s">
        <v>38</v>
      </c>
      <c r="T66">
        <f t="shared" si="0"/>
        <v>7689.3200000000006</v>
      </c>
      <c r="U66">
        <f t="shared" si="1"/>
        <v>0</v>
      </c>
      <c r="V66">
        <f t="shared" si="2"/>
        <v>7667.55</v>
      </c>
      <c r="W66">
        <f t="shared" si="3"/>
        <v>0</v>
      </c>
      <c r="X66">
        <f t="shared" si="4"/>
        <v>3</v>
      </c>
      <c r="Y66" cm="1">
        <f t="array" ref="Y66">_xlfn.IFS(H66=0.1,1,H66=0.15,1,H66=0.05,1,H66=0,0)</f>
        <v>0</v>
      </c>
      <c r="Z66">
        <f t="shared" si="5"/>
        <v>0</v>
      </c>
      <c r="AA66">
        <f t="shared" si="6"/>
        <v>2023</v>
      </c>
    </row>
    <row r="67" spans="1:27" x14ac:dyDescent="0.3">
      <c r="A67" s="2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62</v>
      </c>
      <c r="L67" t="s">
        <v>25</v>
      </c>
      <c r="M67">
        <v>0</v>
      </c>
      <c r="N67" t="s">
        <v>187</v>
      </c>
      <c r="O67" t="s">
        <v>188</v>
      </c>
      <c r="P67">
        <v>22.43</v>
      </c>
      <c r="Q67" s="2">
        <v>45200</v>
      </c>
      <c r="R67" s="2">
        <v>45204</v>
      </c>
      <c r="S67" t="s">
        <v>50</v>
      </c>
      <c r="T67">
        <f t="shared" ref="T67:T130" si="7">SUM(J67:P67)</f>
        <v>202.196</v>
      </c>
      <c r="U67">
        <f t="shared" ref="U67:U130" si="8">PRODUCT(100,H67)</f>
        <v>10</v>
      </c>
      <c r="V67">
        <f t="shared" ref="V67:V130" si="9">PRODUCT(D67:E67)</f>
        <v>199.74</v>
      </c>
      <c r="W67">
        <f t="shared" ref="W67:W130" si="10" xml:space="preserve"> V67-J67</f>
        <v>19.974000000000018</v>
      </c>
      <c r="X67">
        <f t="shared" ref="X67:X130" si="11">R67-Q67</f>
        <v>4</v>
      </c>
      <c r="Y67" cm="1">
        <f t="array" ref="Y67">_xlfn.IFS(H67=0.1,1,H67=0.15,1,H67=0.05,1,H67=0,0)</f>
        <v>1</v>
      </c>
      <c r="Z67">
        <f t="shared" ref="Z67:Z130" si="12">PRODUCT(Y67,D67)</f>
        <v>3</v>
      </c>
      <c r="AA67">
        <f t="shared" ref="AA67:AA130" si="13">YEAR(A67)</f>
        <v>2023</v>
      </c>
    </row>
    <row r="68" spans="1:27" x14ac:dyDescent="0.3">
      <c r="A68" s="2">
        <v>45138</v>
      </c>
      <c r="B68" t="s">
        <v>71</v>
      </c>
      <c r="C68" t="s">
        <v>81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L68" t="s">
        <v>59</v>
      </c>
      <c r="M68">
        <v>0</v>
      </c>
      <c r="N68" t="s">
        <v>189</v>
      </c>
      <c r="O68" t="s">
        <v>190</v>
      </c>
      <c r="P68">
        <v>12.24</v>
      </c>
      <c r="Q68" s="2">
        <v>45138</v>
      </c>
      <c r="R68" s="2">
        <v>45145</v>
      </c>
      <c r="S68" t="s">
        <v>74</v>
      </c>
      <c r="T68">
        <f t="shared" si="7"/>
        <v>2342.2099999999996</v>
      </c>
      <c r="U68">
        <f t="shared" si="8"/>
        <v>5</v>
      </c>
      <c r="V68">
        <f t="shared" si="9"/>
        <v>2452.6</v>
      </c>
      <c r="W68">
        <f t="shared" si="10"/>
        <v>122.63000000000011</v>
      </c>
      <c r="X68">
        <f t="shared" si="11"/>
        <v>7</v>
      </c>
      <c r="Y68" cm="1">
        <f t="array" ref="Y68">_xlfn.IFS(H68=0.1,1,H68=0.15,1,H68=0.05,1,H68=0,0)</f>
        <v>1</v>
      </c>
      <c r="Z68">
        <f t="shared" si="12"/>
        <v>5</v>
      </c>
      <c r="AA68">
        <f t="shared" si="13"/>
        <v>2023</v>
      </c>
    </row>
    <row r="69" spans="1:27" x14ac:dyDescent="0.3">
      <c r="A69" s="2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191</v>
      </c>
      <c r="O69" t="s">
        <v>192</v>
      </c>
      <c r="P69">
        <v>41.27</v>
      </c>
      <c r="Q69" s="2">
        <v>45650</v>
      </c>
      <c r="R69" s="2">
        <v>45657</v>
      </c>
      <c r="S69" t="s">
        <v>38</v>
      </c>
      <c r="T69">
        <f t="shared" si="7"/>
        <v>3126.5659999999998</v>
      </c>
      <c r="U69">
        <f t="shared" si="8"/>
        <v>5</v>
      </c>
      <c r="V69">
        <f t="shared" si="9"/>
        <v>3247.68</v>
      </c>
      <c r="W69">
        <f t="shared" si="10"/>
        <v>162.38400000000001</v>
      </c>
      <c r="X69">
        <f t="shared" si="11"/>
        <v>7</v>
      </c>
      <c r="Y69" cm="1">
        <f t="array" ref="Y69">_xlfn.IFS(H69=0.1,1,H69=0.15,1,H69=0.05,1,H69=0,0)</f>
        <v>1</v>
      </c>
      <c r="Z69">
        <f t="shared" si="12"/>
        <v>8</v>
      </c>
      <c r="AA69">
        <f t="shared" si="13"/>
        <v>2024</v>
      </c>
    </row>
    <row r="70" spans="1:27" x14ac:dyDescent="0.3">
      <c r="A70" s="2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68</v>
      </c>
      <c r="J70">
        <v>143.46899999999999</v>
      </c>
      <c r="K70" t="s">
        <v>58</v>
      </c>
      <c r="L70" t="s">
        <v>25</v>
      </c>
      <c r="M70">
        <v>0</v>
      </c>
      <c r="N70" t="s">
        <v>193</v>
      </c>
      <c r="O70" t="s">
        <v>194</v>
      </c>
      <c r="P70">
        <v>35.14</v>
      </c>
      <c r="Q70" s="2">
        <v>45611</v>
      </c>
      <c r="R70" s="2">
        <v>45615</v>
      </c>
      <c r="S70" t="s">
        <v>44</v>
      </c>
      <c r="T70">
        <f t="shared" si="7"/>
        <v>178.60899999999998</v>
      </c>
      <c r="U70">
        <f t="shared" si="8"/>
        <v>10</v>
      </c>
      <c r="V70">
        <f t="shared" si="9"/>
        <v>159.41</v>
      </c>
      <c r="W70">
        <f t="shared" si="10"/>
        <v>15.941000000000003</v>
      </c>
      <c r="X70">
        <f t="shared" si="11"/>
        <v>4</v>
      </c>
      <c r="Y70" cm="1">
        <f t="array" ref="Y70">_xlfn.IFS(H70=0.1,1,H70=0.15,1,H70=0.05,1,H70=0,0)</f>
        <v>1</v>
      </c>
      <c r="Z70">
        <f t="shared" si="12"/>
        <v>1</v>
      </c>
      <c r="AA70">
        <f t="shared" si="13"/>
        <v>2024</v>
      </c>
    </row>
    <row r="71" spans="1:27" x14ac:dyDescent="0.3">
      <c r="A71" s="2">
        <v>45729</v>
      </c>
      <c r="B71" t="s">
        <v>71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62</v>
      </c>
      <c r="L71" t="s">
        <v>35</v>
      </c>
      <c r="M71">
        <v>0</v>
      </c>
      <c r="N71" t="s">
        <v>195</v>
      </c>
      <c r="O71" t="s">
        <v>196</v>
      </c>
      <c r="P71">
        <v>8.3800000000000008</v>
      </c>
      <c r="Q71" s="2">
        <v>45729</v>
      </c>
      <c r="R71" s="2">
        <v>45738</v>
      </c>
      <c r="S71" t="s">
        <v>74</v>
      </c>
      <c r="T71">
        <f t="shared" si="7"/>
        <v>531.84400000000005</v>
      </c>
      <c r="U71">
        <f t="shared" si="8"/>
        <v>15</v>
      </c>
      <c r="V71">
        <f t="shared" si="9"/>
        <v>615.84</v>
      </c>
      <c r="W71">
        <f t="shared" si="10"/>
        <v>92.375999999999976</v>
      </c>
      <c r="X71">
        <f t="shared" si="11"/>
        <v>9</v>
      </c>
      <c r="Y71" cm="1">
        <f t="array" ref="Y71">_xlfn.IFS(H71=0.1,1,H71=0.15,1,H71=0.05,1,H71=0,0)</f>
        <v>1</v>
      </c>
      <c r="Z71">
        <f t="shared" si="12"/>
        <v>16</v>
      </c>
      <c r="AA71">
        <f t="shared" si="13"/>
        <v>2025</v>
      </c>
    </row>
    <row r="72" spans="1:27" x14ac:dyDescent="0.3">
      <c r="A72" s="2">
        <v>45354</v>
      </c>
      <c r="B72" t="s">
        <v>19</v>
      </c>
      <c r="C72" t="s">
        <v>81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197</v>
      </c>
      <c r="O72" t="s">
        <v>198</v>
      </c>
      <c r="P72">
        <v>15.76</v>
      </c>
      <c r="Q72" s="2">
        <v>45354</v>
      </c>
      <c r="R72" s="2">
        <v>45363</v>
      </c>
      <c r="S72" t="s">
        <v>28</v>
      </c>
      <c r="T72">
        <f t="shared" si="7"/>
        <v>4202.3500000000004</v>
      </c>
      <c r="U72">
        <f t="shared" si="8"/>
        <v>15</v>
      </c>
      <c r="V72">
        <f t="shared" si="9"/>
        <v>4925.4000000000005</v>
      </c>
      <c r="W72">
        <f t="shared" si="10"/>
        <v>738.8100000000004</v>
      </c>
      <c r="X72">
        <f t="shared" si="11"/>
        <v>9</v>
      </c>
      <c r="Y72" cm="1">
        <f t="array" ref="Y72">_xlfn.IFS(H72=0.1,1,H72=0.15,1,H72=0.05,1,H72=0,0)</f>
        <v>1</v>
      </c>
      <c r="Z72">
        <f t="shared" si="12"/>
        <v>15</v>
      </c>
      <c r="AA72">
        <f t="shared" si="13"/>
        <v>2024</v>
      </c>
    </row>
    <row r="73" spans="1:27" x14ac:dyDescent="0.3">
      <c r="A73" s="2">
        <v>44968</v>
      </c>
      <c r="B73" t="s">
        <v>45</v>
      </c>
      <c r="C73" t="s">
        <v>81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199</v>
      </c>
      <c r="O73" t="s">
        <v>200</v>
      </c>
      <c r="P73">
        <v>5.89</v>
      </c>
      <c r="Q73" s="2">
        <v>44968</v>
      </c>
      <c r="R73" s="2">
        <v>44971</v>
      </c>
      <c r="S73" t="s">
        <v>50</v>
      </c>
      <c r="T73">
        <f t="shared" si="7"/>
        <v>9871.07</v>
      </c>
      <c r="U73">
        <f t="shared" si="8"/>
        <v>10</v>
      </c>
      <c r="V73">
        <f t="shared" si="9"/>
        <v>10960.2</v>
      </c>
      <c r="W73">
        <f t="shared" si="10"/>
        <v>1096.0200000000004</v>
      </c>
      <c r="X73">
        <f t="shared" si="11"/>
        <v>3</v>
      </c>
      <c r="Y73" cm="1">
        <f t="array" ref="Y73">_xlfn.IFS(H73=0.1,1,H73=0.15,1,H73=0.05,1,H73=0,0)</f>
        <v>1</v>
      </c>
      <c r="Z73">
        <f t="shared" si="12"/>
        <v>20</v>
      </c>
      <c r="AA73">
        <f t="shared" si="13"/>
        <v>2023</v>
      </c>
    </row>
    <row r="74" spans="1:27" x14ac:dyDescent="0.3">
      <c r="A74" s="2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201</v>
      </c>
      <c r="O74" t="s">
        <v>202</v>
      </c>
      <c r="P74">
        <v>6.57</v>
      </c>
      <c r="Q74" s="2">
        <v>45225</v>
      </c>
      <c r="R74" s="2">
        <v>45235</v>
      </c>
      <c r="S74" t="s">
        <v>38</v>
      </c>
      <c r="T74">
        <f t="shared" si="7"/>
        <v>5990.5275000000001</v>
      </c>
      <c r="U74">
        <f t="shared" si="8"/>
        <v>5</v>
      </c>
      <c r="V74">
        <f t="shared" si="9"/>
        <v>6297.8499999999995</v>
      </c>
      <c r="W74">
        <f t="shared" si="10"/>
        <v>314.89249999999902</v>
      </c>
      <c r="X74">
        <f t="shared" si="11"/>
        <v>10</v>
      </c>
      <c r="Y74" cm="1">
        <f t="array" ref="Y74">_xlfn.IFS(H74=0.1,1,H74=0.15,1,H74=0.05,1,H74=0,0)</f>
        <v>1</v>
      </c>
      <c r="Z74">
        <f t="shared" si="12"/>
        <v>13</v>
      </c>
      <c r="AA74">
        <f t="shared" si="13"/>
        <v>2023</v>
      </c>
    </row>
    <row r="75" spans="1:27" x14ac:dyDescent="0.3">
      <c r="A75" s="2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L75" t="s">
        <v>59</v>
      </c>
      <c r="M75">
        <v>0</v>
      </c>
      <c r="N75" t="s">
        <v>203</v>
      </c>
      <c r="O75" t="s">
        <v>204</v>
      </c>
      <c r="P75">
        <v>33.520000000000003</v>
      </c>
      <c r="Q75" s="2">
        <v>45220</v>
      </c>
      <c r="R75" s="2">
        <v>45227</v>
      </c>
      <c r="S75" t="s">
        <v>38</v>
      </c>
      <c r="T75">
        <f t="shared" si="7"/>
        <v>2452.1439999999998</v>
      </c>
      <c r="U75">
        <f t="shared" si="8"/>
        <v>5</v>
      </c>
      <c r="V75">
        <f t="shared" si="9"/>
        <v>2545.92</v>
      </c>
      <c r="W75">
        <f t="shared" si="10"/>
        <v>127.29600000000028</v>
      </c>
      <c r="X75">
        <f t="shared" si="11"/>
        <v>7</v>
      </c>
      <c r="Y75" cm="1">
        <f t="array" ref="Y75">_xlfn.IFS(H75=0.1,1,H75=0.15,1,H75=0.05,1,H75=0,0)</f>
        <v>1</v>
      </c>
      <c r="Z75">
        <f t="shared" si="12"/>
        <v>13</v>
      </c>
      <c r="AA75">
        <f t="shared" si="13"/>
        <v>2023</v>
      </c>
    </row>
    <row r="76" spans="1:27" x14ac:dyDescent="0.3">
      <c r="A76" s="2">
        <v>45305</v>
      </c>
      <c r="B76" t="s">
        <v>45</v>
      </c>
      <c r="C76" t="s">
        <v>81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62</v>
      </c>
      <c r="L76" t="s">
        <v>25</v>
      </c>
      <c r="M76">
        <v>0</v>
      </c>
      <c r="N76" t="s">
        <v>205</v>
      </c>
      <c r="O76" t="s">
        <v>206</v>
      </c>
      <c r="P76">
        <v>33.590000000000003</v>
      </c>
      <c r="Q76" s="2">
        <v>45305</v>
      </c>
      <c r="R76" s="2">
        <v>45311</v>
      </c>
      <c r="S76" t="s">
        <v>50</v>
      </c>
      <c r="T76">
        <f t="shared" si="7"/>
        <v>517.12099999999998</v>
      </c>
      <c r="U76">
        <f t="shared" si="8"/>
        <v>15</v>
      </c>
      <c r="V76">
        <f t="shared" si="9"/>
        <v>568.86</v>
      </c>
      <c r="W76">
        <f t="shared" si="10"/>
        <v>85.329000000000008</v>
      </c>
      <c r="X76">
        <f t="shared" si="11"/>
        <v>6</v>
      </c>
      <c r="Y76" cm="1">
        <f t="array" ref="Y76">_xlfn.IFS(H76=0.1,1,H76=0.15,1,H76=0.05,1,H76=0,0)</f>
        <v>1</v>
      </c>
      <c r="Z76">
        <f t="shared" si="12"/>
        <v>19</v>
      </c>
      <c r="AA76">
        <f t="shared" si="13"/>
        <v>2024</v>
      </c>
    </row>
    <row r="77" spans="1:27" x14ac:dyDescent="0.3">
      <c r="A77" s="2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L77" t="s">
        <v>59</v>
      </c>
      <c r="M77">
        <v>0</v>
      </c>
      <c r="N77" t="s">
        <v>207</v>
      </c>
      <c r="O77" t="s">
        <v>208</v>
      </c>
      <c r="P77">
        <v>31.3</v>
      </c>
      <c r="Q77" s="2">
        <v>45134</v>
      </c>
      <c r="R77" s="2">
        <v>45138</v>
      </c>
      <c r="S77" t="s">
        <v>50</v>
      </c>
      <c r="T77">
        <f t="shared" si="7"/>
        <v>5016.49</v>
      </c>
      <c r="U77">
        <f t="shared" si="8"/>
        <v>10</v>
      </c>
      <c r="V77">
        <f t="shared" si="9"/>
        <v>5539.0999999999995</v>
      </c>
      <c r="W77">
        <f t="shared" si="10"/>
        <v>553.90999999999985</v>
      </c>
      <c r="X77">
        <f t="shared" si="11"/>
        <v>4</v>
      </c>
      <c r="Y77" cm="1">
        <f t="array" ref="Y77">_xlfn.IFS(H77=0.1,1,H77=0.15,1,H77=0.05,1,H77=0,0)</f>
        <v>1</v>
      </c>
      <c r="Z77">
        <f t="shared" si="12"/>
        <v>10</v>
      </c>
      <c r="AA77">
        <f t="shared" si="13"/>
        <v>2023</v>
      </c>
    </row>
    <row r="78" spans="1:27" x14ac:dyDescent="0.3">
      <c r="A78" s="2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68</v>
      </c>
      <c r="J78">
        <v>5613.5519999999997</v>
      </c>
      <c r="K78" t="s">
        <v>24</v>
      </c>
      <c r="L78" t="s">
        <v>35</v>
      </c>
      <c r="M78">
        <v>0</v>
      </c>
      <c r="N78" t="s">
        <v>209</v>
      </c>
      <c r="O78" t="s">
        <v>210</v>
      </c>
      <c r="P78">
        <v>14.41</v>
      </c>
      <c r="Q78" s="2">
        <v>45588</v>
      </c>
      <c r="R78" s="2">
        <v>45590</v>
      </c>
      <c r="S78" t="s">
        <v>38</v>
      </c>
      <c r="T78">
        <f t="shared" si="7"/>
        <v>5627.9619999999995</v>
      </c>
      <c r="U78">
        <f t="shared" si="8"/>
        <v>10</v>
      </c>
      <c r="V78">
        <f t="shared" si="9"/>
        <v>6237.28</v>
      </c>
      <c r="W78">
        <f t="shared" si="10"/>
        <v>623.72800000000007</v>
      </c>
      <c r="X78">
        <f t="shared" si="11"/>
        <v>2</v>
      </c>
      <c r="Y78" cm="1">
        <f t="array" ref="Y78">_xlfn.IFS(H78=0.1,1,H78=0.15,1,H78=0.05,1,H78=0,0)</f>
        <v>1</v>
      </c>
      <c r="Z78">
        <f t="shared" si="12"/>
        <v>14</v>
      </c>
      <c r="AA78">
        <f t="shared" si="13"/>
        <v>2024</v>
      </c>
    </row>
    <row r="79" spans="1:27" x14ac:dyDescent="0.3">
      <c r="A79" s="2">
        <v>45195</v>
      </c>
      <c r="B79" t="s">
        <v>29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211</v>
      </c>
      <c r="O79" t="s">
        <v>212</v>
      </c>
      <c r="P79">
        <v>7.87</v>
      </c>
      <c r="Q79" s="2">
        <v>45195</v>
      </c>
      <c r="R79" s="2">
        <v>45200</v>
      </c>
      <c r="S79" t="s">
        <v>38</v>
      </c>
      <c r="T79">
        <f t="shared" si="7"/>
        <v>2353.085</v>
      </c>
      <c r="U79">
        <f t="shared" si="8"/>
        <v>15</v>
      </c>
      <c r="V79">
        <f t="shared" si="9"/>
        <v>2757.9</v>
      </c>
      <c r="W79">
        <f t="shared" si="10"/>
        <v>413.68499999999995</v>
      </c>
      <c r="X79">
        <f t="shared" si="11"/>
        <v>5</v>
      </c>
      <c r="Y79" cm="1">
        <f t="array" ref="Y79">_xlfn.IFS(H79=0.1,1,H79=0.15,1,H79=0.05,1,H79=0,0)</f>
        <v>1</v>
      </c>
      <c r="Z79">
        <f t="shared" si="12"/>
        <v>5</v>
      </c>
      <c r="AA79">
        <f t="shared" si="13"/>
        <v>2023</v>
      </c>
    </row>
    <row r="80" spans="1:27" x14ac:dyDescent="0.3">
      <c r="A80" s="2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213</v>
      </c>
      <c r="O80" t="s">
        <v>214</v>
      </c>
      <c r="P80">
        <v>49.05</v>
      </c>
      <c r="Q80" s="2">
        <v>45276</v>
      </c>
      <c r="R80" s="2">
        <v>45280</v>
      </c>
      <c r="S80" t="s">
        <v>28</v>
      </c>
      <c r="T80">
        <f t="shared" si="7"/>
        <v>3187.25</v>
      </c>
      <c r="U80">
        <f t="shared" si="8"/>
        <v>0</v>
      </c>
      <c r="V80">
        <f t="shared" si="9"/>
        <v>3138.2000000000003</v>
      </c>
      <c r="W80">
        <f t="shared" si="10"/>
        <v>0</v>
      </c>
      <c r="X80">
        <f t="shared" si="11"/>
        <v>4</v>
      </c>
      <c r="Y80" cm="1">
        <f t="array" ref="Y80">_xlfn.IFS(H80=0.1,1,H80=0.15,1,H80=0.05,1,H80=0,0)</f>
        <v>0</v>
      </c>
      <c r="Z80">
        <f t="shared" si="12"/>
        <v>0</v>
      </c>
      <c r="AA80">
        <f t="shared" si="13"/>
        <v>2023</v>
      </c>
    </row>
    <row r="81" spans="1:27" x14ac:dyDescent="0.3">
      <c r="A81" s="2">
        <v>45293</v>
      </c>
      <c r="B81" t="s">
        <v>45</v>
      </c>
      <c r="C81" t="s">
        <v>132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L81" t="s">
        <v>59</v>
      </c>
      <c r="M81">
        <v>0</v>
      </c>
      <c r="N81" t="s">
        <v>215</v>
      </c>
      <c r="O81" t="s">
        <v>216</v>
      </c>
      <c r="P81">
        <v>39.979999999999997</v>
      </c>
      <c r="Q81" s="2">
        <v>45293</v>
      </c>
      <c r="R81" s="2">
        <v>45296</v>
      </c>
      <c r="S81" t="s">
        <v>50</v>
      </c>
      <c r="T81">
        <f t="shared" si="7"/>
        <v>6726.65</v>
      </c>
      <c r="U81">
        <f t="shared" si="8"/>
        <v>0</v>
      </c>
      <c r="V81">
        <f t="shared" si="9"/>
        <v>6686.67</v>
      </c>
      <c r="W81">
        <f t="shared" si="10"/>
        <v>0</v>
      </c>
      <c r="X81">
        <f t="shared" si="11"/>
        <v>3</v>
      </c>
      <c r="Y81" cm="1">
        <f t="array" ref="Y81">_xlfn.IFS(H81=0.1,1,H81=0.15,1,H81=0.05,1,H81=0,0)</f>
        <v>0</v>
      </c>
      <c r="Z81">
        <f t="shared" si="12"/>
        <v>0</v>
      </c>
      <c r="AA81">
        <f t="shared" si="13"/>
        <v>2024</v>
      </c>
    </row>
    <row r="82" spans="1:27" x14ac:dyDescent="0.3">
      <c r="A82" s="2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62</v>
      </c>
      <c r="L82" t="s">
        <v>35</v>
      </c>
      <c r="M82">
        <v>1</v>
      </c>
      <c r="N82" t="s">
        <v>217</v>
      </c>
      <c r="O82" t="s">
        <v>218</v>
      </c>
      <c r="P82">
        <v>38.82</v>
      </c>
      <c r="Q82" s="2">
        <v>45338</v>
      </c>
      <c r="R82" s="2">
        <v>45347</v>
      </c>
      <c r="S82" t="s">
        <v>44</v>
      </c>
      <c r="T82">
        <f t="shared" si="7"/>
        <v>358.07</v>
      </c>
      <c r="U82">
        <f t="shared" si="8"/>
        <v>5</v>
      </c>
      <c r="V82">
        <f t="shared" si="9"/>
        <v>335</v>
      </c>
      <c r="W82">
        <f t="shared" si="10"/>
        <v>16.75</v>
      </c>
      <c r="X82">
        <f t="shared" si="11"/>
        <v>9</v>
      </c>
      <c r="Y82" cm="1">
        <f t="array" ref="Y82">_xlfn.IFS(H82=0.1,1,H82=0.15,1,H82=0.05,1,H82=0,0)</f>
        <v>1</v>
      </c>
      <c r="Z82">
        <f t="shared" si="12"/>
        <v>4</v>
      </c>
      <c r="AA82">
        <f t="shared" si="13"/>
        <v>2024</v>
      </c>
    </row>
    <row r="83" spans="1:27" x14ac:dyDescent="0.3">
      <c r="A83" s="2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L83" t="s">
        <v>59</v>
      </c>
      <c r="M83">
        <v>1</v>
      </c>
      <c r="N83" t="s">
        <v>219</v>
      </c>
      <c r="O83" t="s">
        <v>220</v>
      </c>
      <c r="P83">
        <v>24.03</v>
      </c>
      <c r="Q83" s="2">
        <v>45415</v>
      </c>
      <c r="R83" s="2">
        <v>45424</v>
      </c>
      <c r="S83" t="s">
        <v>28</v>
      </c>
      <c r="T83">
        <f t="shared" si="7"/>
        <v>1797.0674999999999</v>
      </c>
      <c r="U83">
        <f t="shared" si="8"/>
        <v>15</v>
      </c>
      <c r="V83">
        <f t="shared" si="9"/>
        <v>2084.75</v>
      </c>
      <c r="W83">
        <f t="shared" si="10"/>
        <v>312.71250000000009</v>
      </c>
      <c r="X83">
        <f t="shared" si="11"/>
        <v>9</v>
      </c>
      <c r="Y83" cm="1">
        <f t="array" ref="Y83">_xlfn.IFS(H83=0.1,1,H83=0.15,1,H83=0.05,1,H83=0,0)</f>
        <v>1</v>
      </c>
      <c r="Z83">
        <f t="shared" si="12"/>
        <v>5</v>
      </c>
      <c r="AA83">
        <f t="shared" si="13"/>
        <v>2024</v>
      </c>
    </row>
    <row r="84" spans="1:27" x14ac:dyDescent="0.3">
      <c r="A84" s="2">
        <v>45073</v>
      </c>
      <c r="B84" t="s">
        <v>71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68</v>
      </c>
      <c r="J84">
        <v>2435.5529999999999</v>
      </c>
      <c r="K84" t="s">
        <v>58</v>
      </c>
      <c r="L84" t="s">
        <v>35</v>
      </c>
      <c r="M84">
        <v>1</v>
      </c>
      <c r="N84" t="s">
        <v>221</v>
      </c>
      <c r="O84" t="s">
        <v>222</v>
      </c>
      <c r="P84">
        <v>12.38</v>
      </c>
      <c r="Q84" s="2">
        <v>45073</v>
      </c>
      <c r="R84" s="2">
        <v>45079</v>
      </c>
      <c r="S84" t="s">
        <v>74</v>
      </c>
      <c r="T84">
        <f t="shared" si="7"/>
        <v>2448.933</v>
      </c>
      <c r="U84">
        <f t="shared" si="8"/>
        <v>5</v>
      </c>
      <c r="V84">
        <f t="shared" si="9"/>
        <v>2563.7400000000002</v>
      </c>
      <c r="W84">
        <f t="shared" si="10"/>
        <v>128.18700000000035</v>
      </c>
      <c r="X84">
        <f t="shared" si="11"/>
        <v>6</v>
      </c>
      <c r="Y84" cm="1">
        <f t="array" ref="Y84">_xlfn.IFS(H84=0.1,1,H84=0.15,1,H84=0.05,1,H84=0,0)</f>
        <v>1</v>
      </c>
      <c r="Z84">
        <f t="shared" si="12"/>
        <v>18</v>
      </c>
      <c r="AA84">
        <f t="shared" si="13"/>
        <v>2023</v>
      </c>
    </row>
    <row r="85" spans="1:27" x14ac:dyDescent="0.3">
      <c r="A85" s="2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68</v>
      </c>
      <c r="J85">
        <v>6990.24</v>
      </c>
      <c r="K85" t="s">
        <v>58</v>
      </c>
      <c r="L85" t="s">
        <v>25</v>
      </c>
      <c r="M85">
        <v>0</v>
      </c>
      <c r="N85" t="s">
        <v>223</v>
      </c>
      <c r="O85" t="s">
        <v>224</v>
      </c>
      <c r="P85">
        <v>41.16</v>
      </c>
      <c r="Q85" s="2">
        <v>44931</v>
      </c>
      <c r="R85" s="2">
        <v>44937</v>
      </c>
      <c r="S85" t="s">
        <v>28</v>
      </c>
      <c r="T85">
        <f t="shared" si="7"/>
        <v>7031.4</v>
      </c>
      <c r="U85">
        <f t="shared" si="8"/>
        <v>0</v>
      </c>
      <c r="V85">
        <f t="shared" si="9"/>
        <v>6990.24</v>
      </c>
      <c r="W85">
        <f t="shared" si="10"/>
        <v>0</v>
      </c>
      <c r="X85">
        <f t="shared" si="11"/>
        <v>6</v>
      </c>
      <c r="Y85" cm="1">
        <f t="array" ref="Y85">_xlfn.IFS(H85=0.1,1,H85=0.15,1,H85=0.05,1,H85=0,0)</f>
        <v>0</v>
      </c>
      <c r="Z85">
        <f t="shared" si="12"/>
        <v>0</v>
      </c>
      <c r="AA85">
        <f t="shared" si="13"/>
        <v>2023</v>
      </c>
    </row>
    <row r="86" spans="1:27" x14ac:dyDescent="0.3">
      <c r="A86" s="2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225</v>
      </c>
      <c r="O86" t="s">
        <v>226</v>
      </c>
      <c r="P86">
        <v>40.21</v>
      </c>
      <c r="Q86" s="2">
        <v>45798</v>
      </c>
      <c r="R86" s="2">
        <v>45800</v>
      </c>
      <c r="S86" t="s">
        <v>28</v>
      </c>
      <c r="T86">
        <f t="shared" si="7"/>
        <v>2242.73</v>
      </c>
      <c r="U86">
        <f t="shared" si="8"/>
        <v>15</v>
      </c>
      <c r="V86">
        <f t="shared" si="9"/>
        <v>2591.1999999999998</v>
      </c>
      <c r="W86">
        <f t="shared" si="10"/>
        <v>388.67999999999984</v>
      </c>
      <c r="X86">
        <f t="shared" si="11"/>
        <v>2</v>
      </c>
      <c r="Y86" cm="1">
        <f t="array" ref="Y86">_xlfn.IFS(H86=0.1,1,H86=0.15,1,H86=0.05,1,H86=0,0)</f>
        <v>1</v>
      </c>
      <c r="Z86">
        <f t="shared" si="12"/>
        <v>20</v>
      </c>
      <c r="AA86">
        <f t="shared" si="13"/>
        <v>2025</v>
      </c>
    </row>
    <row r="87" spans="1:27" x14ac:dyDescent="0.3">
      <c r="A87" s="2">
        <v>45128</v>
      </c>
      <c r="B87" t="s">
        <v>45</v>
      </c>
      <c r="C87" t="s">
        <v>81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227</v>
      </c>
      <c r="O87" t="s">
        <v>228</v>
      </c>
      <c r="P87">
        <v>37.75</v>
      </c>
      <c r="Q87" s="2">
        <v>45128</v>
      </c>
      <c r="R87" s="2">
        <v>45132</v>
      </c>
      <c r="S87" t="s">
        <v>50</v>
      </c>
      <c r="T87">
        <f t="shared" si="7"/>
        <v>7379.69</v>
      </c>
      <c r="U87">
        <f t="shared" si="8"/>
        <v>0</v>
      </c>
      <c r="V87">
        <f t="shared" si="9"/>
        <v>7340.94</v>
      </c>
      <c r="W87">
        <f t="shared" si="10"/>
        <v>0</v>
      </c>
      <c r="X87">
        <f t="shared" si="11"/>
        <v>4</v>
      </c>
      <c r="Y87" cm="1">
        <f t="array" ref="Y87">_xlfn.IFS(H87=0.1,1,H87=0.15,1,H87=0.05,1,H87=0,0)</f>
        <v>0</v>
      </c>
      <c r="Z87">
        <f t="shared" si="12"/>
        <v>0</v>
      </c>
      <c r="AA87">
        <f t="shared" si="13"/>
        <v>2023</v>
      </c>
    </row>
    <row r="88" spans="1:27" x14ac:dyDescent="0.3">
      <c r="A88" s="2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68</v>
      </c>
      <c r="J88">
        <v>237.75</v>
      </c>
      <c r="K88" t="s">
        <v>62</v>
      </c>
      <c r="L88" t="s">
        <v>41</v>
      </c>
      <c r="M88">
        <v>0</v>
      </c>
      <c r="N88" t="s">
        <v>229</v>
      </c>
      <c r="O88" t="s">
        <v>230</v>
      </c>
      <c r="P88">
        <v>23.49</v>
      </c>
      <c r="Q88" s="2">
        <v>45802</v>
      </c>
      <c r="R88" s="2">
        <v>45811</v>
      </c>
      <c r="S88" t="s">
        <v>28</v>
      </c>
      <c r="T88">
        <f t="shared" si="7"/>
        <v>261.24</v>
      </c>
      <c r="U88">
        <f t="shared" si="8"/>
        <v>0</v>
      </c>
      <c r="V88">
        <f t="shared" si="9"/>
        <v>237.75</v>
      </c>
      <c r="W88">
        <f t="shared" si="10"/>
        <v>0</v>
      </c>
      <c r="X88">
        <f t="shared" si="11"/>
        <v>9</v>
      </c>
      <c r="Y88" cm="1">
        <f t="array" ref="Y88">_xlfn.IFS(H88=0.1,1,H88=0.15,1,H88=0.05,1,H88=0,0)</f>
        <v>0</v>
      </c>
      <c r="Z88">
        <f t="shared" si="12"/>
        <v>0</v>
      </c>
      <c r="AA88">
        <f t="shared" si="13"/>
        <v>2025</v>
      </c>
    </row>
    <row r="89" spans="1:27" x14ac:dyDescent="0.3">
      <c r="A89" s="2">
        <v>45612</v>
      </c>
      <c r="B89" t="s">
        <v>29</v>
      </c>
      <c r="C89" t="s">
        <v>81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68</v>
      </c>
      <c r="J89">
        <v>9870.1200000000008</v>
      </c>
      <c r="K89" t="s">
        <v>34</v>
      </c>
      <c r="L89" t="s">
        <v>41</v>
      </c>
      <c r="M89">
        <v>0</v>
      </c>
      <c r="N89" t="s">
        <v>231</v>
      </c>
      <c r="O89" t="s">
        <v>232</v>
      </c>
      <c r="P89">
        <v>33.47</v>
      </c>
      <c r="Q89" s="2">
        <v>45612</v>
      </c>
      <c r="R89" s="2">
        <v>45618</v>
      </c>
      <c r="S89" t="s">
        <v>38</v>
      </c>
      <c r="T89">
        <f t="shared" si="7"/>
        <v>9903.59</v>
      </c>
      <c r="U89">
        <f t="shared" si="8"/>
        <v>10</v>
      </c>
      <c r="V89">
        <f t="shared" si="9"/>
        <v>10966.800000000001</v>
      </c>
      <c r="W89">
        <f t="shared" si="10"/>
        <v>1096.6800000000003</v>
      </c>
      <c r="X89">
        <f t="shared" si="11"/>
        <v>6</v>
      </c>
      <c r="Y89" cm="1">
        <f t="array" ref="Y89">_xlfn.IFS(H89=0.1,1,H89=0.15,1,H89=0.05,1,H89=0,0)</f>
        <v>1</v>
      </c>
      <c r="Z89">
        <f t="shared" si="12"/>
        <v>20</v>
      </c>
      <c r="AA89">
        <f t="shared" si="13"/>
        <v>2024</v>
      </c>
    </row>
    <row r="90" spans="1:27" x14ac:dyDescent="0.3">
      <c r="A90" s="2">
        <v>45249</v>
      </c>
      <c r="B90" t="s">
        <v>39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L90" t="s">
        <v>59</v>
      </c>
      <c r="M90">
        <v>0</v>
      </c>
      <c r="N90" t="s">
        <v>233</v>
      </c>
      <c r="O90" t="s">
        <v>234</v>
      </c>
      <c r="P90">
        <v>36.47</v>
      </c>
      <c r="Q90" s="2">
        <v>45249</v>
      </c>
      <c r="R90" s="2">
        <v>45255</v>
      </c>
      <c r="S90" t="s">
        <v>44</v>
      </c>
      <c r="T90">
        <f t="shared" si="7"/>
        <v>8029.0860000000002</v>
      </c>
      <c r="U90">
        <f t="shared" si="8"/>
        <v>5</v>
      </c>
      <c r="V90">
        <f t="shared" si="9"/>
        <v>8413.2800000000007</v>
      </c>
      <c r="W90">
        <f t="shared" si="10"/>
        <v>420.66400000000067</v>
      </c>
      <c r="X90">
        <f t="shared" si="11"/>
        <v>6</v>
      </c>
      <c r="Y90" cm="1">
        <f t="array" ref="Y90">_xlfn.IFS(H90=0.1,1,H90=0.15,1,H90=0.05,1,H90=0,0)</f>
        <v>1</v>
      </c>
      <c r="Z90">
        <f t="shared" si="12"/>
        <v>16</v>
      </c>
      <c r="AA90">
        <f t="shared" si="13"/>
        <v>2023</v>
      </c>
    </row>
    <row r="91" spans="1:27" x14ac:dyDescent="0.3">
      <c r="A91" s="2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68</v>
      </c>
      <c r="J91">
        <v>5862.165</v>
      </c>
      <c r="K91" t="s">
        <v>24</v>
      </c>
      <c r="L91" t="s">
        <v>35</v>
      </c>
      <c r="M91">
        <v>0</v>
      </c>
      <c r="N91" t="s">
        <v>235</v>
      </c>
      <c r="O91" t="s">
        <v>236</v>
      </c>
      <c r="P91">
        <v>48.51</v>
      </c>
      <c r="Q91" s="2">
        <v>45669</v>
      </c>
      <c r="R91" s="2">
        <v>45678</v>
      </c>
      <c r="S91" t="s">
        <v>50</v>
      </c>
      <c r="T91">
        <f t="shared" si="7"/>
        <v>5910.6750000000002</v>
      </c>
      <c r="U91">
        <f t="shared" si="8"/>
        <v>5</v>
      </c>
      <c r="V91">
        <f t="shared" si="9"/>
        <v>6170.7</v>
      </c>
      <c r="W91">
        <f t="shared" si="10"/>
        <v>308.53499999999985</v>
      </c>
      <c r="X91">
        <f t="shared" si="11"/>
        <v>9</v>
      </c>
      <c r="Y91" cm="1">
        <f t="array" ref="Y91">_xlfn.IFS(H91=0.1,1,H91=0.15,1,H91=0.05,1,H91=0,0)</f>
        <v>1</v>
      </c>
      <c r="Z91">
        <f t="shared" si="12"/>
        <v>15</v>
      </c>
      <c r="AA91">
        <f t="shared" si="13"/>
        <v>2025</v>
      </c>
    </row>
    <row r="92" spans="1:27" x14ac:dyDescent="0.3">
      <c r="A92" s="2">
        <v>45014</v>
      </c>
      <c r="B92" t="s">
        <v>39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237</v>
      </c>
      <c r="O92" t="s">
        <v>238</v>
      </c>
      <c r="P92">
        <v>18.3</v>
      </c>
      <c r="Q92" s="2">
        <v>45014</v>
      </c>
      <c r="R92" s="2">
        <v>45019</v>
      </c>
      <c r="S92" t="s">
        <v>44</v>
      </c>
      <c r="T92">
        <f t="shared" si="7"/>
        <v>9593.4449999999997</v>
      </c>
      <c r="U92">
        <f t="shared" si="8"/>
        <v>10</v>
      </c>
      <c r="V92">
        <f t="shared" si="9"/>
        <v>10639.050000000001</v>
      </c>
      <c r="W92">
        <f t="shared" si="10"/>
        <v>1063.9050000000007</v>
      </c>
      <c r="X92">
        <f t="shared" si="11"/>
        <v>5</v>
      </c>
      <c r="Y92" cm="1">
        <f t="array" ref="Y92">_xlfn.IFS(H92=0.1,1,H92=0.15,1,H92=0.05,1,H92=0,0)</f>
        <v>1</v>
      </c>
      <c r="Z92">
        <f t="shared" si="12"/>
        <v>19</v>
      </c>
      <c r="AA92">
        <f t="shared" si="13"/>
        <v>2023</v>
      </c>
    </row>
    <row r="93" spans="1:27" x14ac:dyDescent="0.3">
      <c r="A93" s="2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239</v>
      </c>
      <c r="O93" t="s">
        <v>240</v>
      </c>
      <c r="P93">
        <v>14.8</v>
      </c>
      <c r="Q93" s="2">
        <v>45717</v>
      </c>
      <c r="R93" s="2">
        <v>45721</v>
      </c>
      <c r="S93" t="s">
        <v>44</v>
      </c>
      <c r="T93">
        <f t="shared" si="7"/>
        <v>1382.04</v>
      </c>
      <c r="U93">
        <f t="shared" si="8"/>
        <v>5</v>
      </c>
      <c r="V93">
        <f t="shared" si="9"/>
        <v>1439.2</v>
      </c>
      <c r="W93">
        <f t="shared" si="10"/>
        <v>71.960000000000036</v>
      </c>
      <c r="X93">
        <f t="shared" si="11"/>
        <v>4</v>
      </c>
      <c r="Y93" cm="1">
        <f t="array" ref="Y93">_xlfn.IFS(H93=0.1,1,H93=0.15,1,H93=0.05,1,H93=0,0)</f>
        <v>1</v>
      </c>
      <c r="Z93">
        <f t="shared" si="12"/>
        <v>8</v>
      </c>
      <c r="AA93">
        <f t="shared" si="13"/>
        <v>2025</v>
      </c>
    </row>
    <row r="94" spans="1:27" x14ac:dyDescent="0.3">
      <c r="A94" s="2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5040.329999999999</v>
      </c>
      <c r="K94" t="s">
        <v>24</v>
      </c>
      <c r="L94" t="s">
        <v>35</v>
      </c>
      <c r="M94">
        <v>1</v>
      </c>
      <c r="N94" t="s">
        <v>241</v>
      </c>
      <c r="O94" t="s">
        <v>242</v>
      </c>
      <c r="P94">
        <v>18.05</v>
      </c>
      <c r="Q94" s="2">
        <v>45217</v>
      </c>
      <c r="R94" s="2">
        <v>45219</v>
      </c>
      <c r="S94" t="s">
        <v>44</v>
      </c>
      <c r="T94">
        <f t="shared" si="7"/>
        <v>5059.3799999999992</v>
      </c>
      <c r="U94">
        <f t="shared" si="8"/>
        <v>15</v>
      </c>
      <c r="V94">
        <f t="shared" si="9"/>
        <v>5929.7999999999993</v>
      </c>
      <c r="W94">
        <f t="shared" si="10"/>
        <v>889.47000000000025</v>
      </c>
      <c r="X94">
        <f t="shared" si="11"/>
        <v>2</v>
      </c>
      <c r="Y94" cm="1">
        <f t="array" ref="Y94">_xlfn.IFS(H94=0.1,1,H94=0.15,1,H94=0.05,1,H94=0,0)</f>
        <v>1</v>
      </c>
      <c r="Z94">
        <f t="shared" si="12"/>
        <v>12</v>
      </c>
      <c r="AA94">
        <f t="shared" si="13"/>
        <v>2023</v>
      </c>
    </row>
    <row r="95" spans="1:27" x14ac:dyDescent="0.3">
      <c r="A95" s="2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68</v>
      </c>
      <c r="J95">
        <v>4629.8999999999996</v>
      </c>
      <c r="K95" t="s">
        <v>58</v>
      </c>
      <c r="L95" t="s">
        <v>41</v>
      </c>
      <c r="M95">
        <v>0</v>
      </c>
      <c r="N95" t="s">
        <v>243</v>
      </c>
      <c r="O95" t="s">
        <v>244</v>
      </c>
      <c r="P95">
        <v>5.01</v>
      </c>
      <c r="Q95" s="2">
        <v>45760</v>
      </c>
      <c r="R95" s="2">
        <v>45762</v>
      </c>
      <c r="S95" t="s">
        <v>28</v>
      </c>
      <c r="T95">
        <f t="shared" si="7"/>
        <v>4634.91</v>
      </c>
      <c r="U95">
        <f t="shared" si="8"/>
        <v>0</v>
      </c>
      <c r="V95">
        <f t="shared" si="9"/>
        <v>4629.8999999999996</v>
      </c>
      <c r="W95">
        <f t="shared" si="10"/>
        <v>0</v>
      </c>
      <c r="X95">
        <f t="shared" si="11"/>
        <v>2</v>
      </c>
      <c r="Y95" cm="1">
        <f t="array" ref="Y95">_xlfn.IFS(H95=0.1,1,H95=0.15,1,H95=0.05,1,H95=0,0)</f>
        <v>0</v>
      </c>
      <c r="Z95">
        <f t="shared" si="12"/>
        <v>0</v>
      </c>
      <c r="AA95">
        <f t="shared" si="13"/>
        <v>2025</v>
      </c>
    </row>
    <row r="96" spans="1:27" x14ac:dyDescent="0.3">
      <c r="A96" s="2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65</v>
      </c>
      <c r="L96" t="s">
        <v>35</v>
      </c>
      <c r="M96">
        <v>1</v>
      </c>
      <c r="N96" t="s">
        <v>245</v>
      </c>
      <c r="O96" t="s">
        <v>246</v>
      </c>
      <c r="P96">
        <v>11.54</v>
      </c>
      <c r="Q96" s="2">
        <v>45790</v>
      </c>
      <c r="R96" s="2">
        <v>45800</v>
      </c>
      <c r="S96" t="s">
        <v>50</v>
      </c>
      <c r="T96">
        <f t="shared" si="7"/>
        <v>3073.136</v>
      </c>
      <c r="U96">
        <f t="shared" si="8"/>
        <v>5</v>
      </c>
      <c r="V96">
        <f t="shared" si="9"/>
        <v>3221.6800000000003</v>
      </c>
      <c r="W96">
        <f t="shared" si="10"/>
        <v>161.08400000000029</v>
      </c>
      <c r="X96">
        <f t="shared" si="11"/>
        <v>10</v>
      </c>
      <c r="Y96" cm="1">
        <f t="array" ref="Y96">_xlfn.IFS(H96=0.1,1,H96=0.15,1,H96=0.05,1,H96=0,0)</f>
        <v>1</v>
      </c>
      <c r="Z96">
        <f t="shared" si="12"/>
        <v>7</v>
      </c>
      <c r="AA96">
        <f t="shared" si="13"/>
        <v>2025</v>
      </c>
    </row>
    <row r="97" spans="1:27" x14ac:dyDescent="0.3">
      <c r="A97" s="2">
        <v>45403</v>
      </c>
      <c r="B97" t="s">
        <v>71</v>
      </c>
      <c r="C97" t="s">
        <v>132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247</v>
      </c>
      <c r="O97" t="s">
        <v>248</v>
      </c>
      <c r="P97">
        <v>6.11</v>
      </c>
      <c r="Q97" s="2">
        <v>45403</v>
      </c>
      <c r="R97" s="2">
        <v>45409</v>
      </c>
      <c r="S97" t="s">
        <v>74</v>
      </c>
      <c r="T97">
        <f t="shared" si="7"/>
        <v>5004.8579999999993</v>
      </c>
      <c r="U97">
        <f t="shared" si="8"/>
        <v>5</v>
      </c>
      <c r="V97">
        <f t="shared" si="9"/>
        <v>5261.84</v>
      </c>
      <c r="W97">
        <f t="shared" si="10"/>
        <v>263.09200000000055</v>
      </c>
      <c r="X97">
        <f t="shared" si="11"/>
        <v>6</v>
      </c>
      <c r="Y97" cm="1">
        <f t="array" ref="Y97">_xlfn.IFS(H97=0.1,1,H97=0.15,1,H97=0.05,1,H97=0,0)</f>
        <v>1</v>
      </c>
      <c r="Z97">
        <f t="shared" si="12"/>
        <v>17</v>
      </c>
      <c r="AA97">
        <f t="shared" si="13"/>
        <v>2024</v>
      </c>
    </row>
    <row r="98" spans="1:27" x14ac:dyDescent="0.3">
      <c r="A98" s="2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249</v>
      </c>
      <c r="O98" t="s">
        <v>250</v>
      </c>
      <c r="P98">
        <v>27.48</v>
      </c>
      <c r="Q98" s="2">
        <v>45688</v>
      </c>
      <c r="R98" s="2">
        <v>45696</v>
      </c>
      <c r="S98" t="s">
        <v>50</v>
      </c>
      <c r="T98">
        <f t="shared" si="7"/>
        <v>335.11850000000004</v>
      </c>
      <c r="U98">
        <f t="shared" si="8"/>
        <v>5</v>
      </c>
      <c r="V98">
        <f t="shared" si="9"/>
        <v>323.83</v>
      </c>
      <c r="W98">
        <f t="shared" si="10"/>
        <v>16.191499999999962</v>
      </c>
      <c r="X98">
        <f t="shared" si="11"/>
        <v>8</v>
      </c>
      <c r="Y98" cm="1">
        <f t="array" ref="Y98">_xlfn.IFS(H98=0.1,1,H98=0.15,1,H98=0.05,1,H98=0,0)</f>
        <v>1</v>
      </c>
      <c r="Z98">
        <f t="shared" si="12"/>
        <v>1</v>
      </c>
      <c r="AA98">
        <f t="shared" si="13"/>
        <v>2025</v>
      </c>
    </row>
    <row r="99" spans="1:27" x14ac:dyDescent="0.3">
      <c r="A99" s="2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68</v>
      </c>
      <c r="J99">
        <v>5030.7</v>
      </c>
      <c r="K99" t="s">
        <v>58</v>
      </c>
      <c r="L99" t="s">
        <v>25</v>
      </c>
      <c r="M99">
        <v>0</v>
      </c>
      <c r="N99" t="s">
        <v>251</v>
      </c>
      <c r="O99" t="s">
        <v>252</v>
      </c>
      <c r="P99">
        <v>44.61</v>
      </c>
      <c r="Q99" s="2">
        <v>45730</v>
      </c>
      <c r="R99" s="2">
        <v>45735</v>
      </c>
      <c r="S99" t="s">
        <v>50</v>
      </c>
      <c r="T99">
        <f t="shared" si="7"/>
        <v>5075.3099999999995</v>
      </c>
      <c r="U99">
        <f t="shared" si="8"/>
        <v>0</v>
      </c>
      <c r="V99">
        <f t="shared" si="9"/>
        <v>5030.7</v>
      </c>
      <c r="W99">
        <f t="shared" si="10"/>
        <v>0</v>
      </c>
      <c r="X99">
        <f t="shared" si="11"/>
        <v>5</v>
      </c>
      <c r="Y99" cm="1">
        <f t="array" ref="Y99">_xlfn.IFS(H99=0.1,1,H99=0.15,1,H99=0.05,1,H99=0,0)</f>
        <v>0</v>
      </c>
      <c r="Z99">
        <f t="shared" si="12"/>
        <v>0</v>
      </c>
      <c r="AA99">
        <f t="shared" si="13"/>
        <v>2025</v>
      </c>
    </row>
    <row r="100" spans="1:27" x14ac:dyDescent="0.3">
      <c r="A100" s="2">
        <v>45438</v>
      </c>
      <c r="B100" t="s">
        <v>71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253</v>
      </c>
      <c r="O100" t="s">
        <v>254</v>
      </c>
      <c r="P100">
        <v>43.46</v>
      </c>
      <c r="Q100" s="2">
        <v>45438</v>
      </c>
      <c r="R100" s="2">
        <v>45441</v>
      </c>
      <c r="S100" t="s">
        <v>74</v>
      </c>
      <c r="T100">
        <f t="shared" si="7"/>
        <v>8403.0199999999986</v>
      </c>
      <c r="U100">
        <f t="shared" si="8"/>
        <v>15</v>
      </c>
      <c r="V100">
        <f t="shared" si="9"/>
        <v>9833.6</v>
      </c>
      <c r="W100">
        <f t="shared" si="10"/>
        <v>1475.0400000000009</v>
      </c>
      <c r="X100">
        <f t="shared" si="11"/>
        <v>3</v>
      </c>
      <c r="Y100" cm="1">
        <f t="array" ref="Y100">_xlfn.IFS(H100=0.1,1,H100=0.15,1,H100=0.05,1,H100=0,0)</f>
        <v>1</v>
      </c>
      <c r="Z100">
        <f t="shared" si="12"/>
        <v>20</v>
      </c>
      <c r="AA100">
        <f t="shared" si="13"/>
        <v>2024</v>
      </c>
    </row>
    <row r="101" spans="1:27" x14ac:dyDescent="0.3">
      <c r="A101" s="2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255</v>
      </c>
      <c r="O101" t="s">
        <v>256</v>
      </c>
      <c r="P101">
        <v>17.88</v>
      </c>
      <c r="Q101" s="2">
        <v>45129</v>
      </c>
      <c r="R101" s="2">
        <v>45133</v>
      </c>
      <c r="S101" t="s">
        <v>44</v>
      </c>
      <c r="T101">
        <f t="shared" si="7"/>
        <v>7583.3474999999999</v>
      </c>
      <c r="U101">
        <f t="shared" si="8"/>
        <v>5</v>
      </c>
      <c r="V101">
        <f t="shared" si="9"/>
        <v>7963.65</v>
      </c>
      <c r="W101">
        <f t="shared" si="10"/>
        <v>398.18249999999989</v>
      </c>
      <c r="X101">
        <f t="shared" si="11"/>
        <v>4</v>
      </c>
      <c r="Y101" cm="1">
        <f t="array" ref="Y101">_xlfn.IFS(H101=0.1,1,H101=0.15,1,H101=0.05,1,H101=0,0)</f>
        <v>1</v>
      </c>
      <c r="Z101">
        <f t="shared" si="12"/>
        <v>17</v>
      </c>
      <c r="AA101">
        <f t="shared" si="13"/>
        <v>2023</v>
      </c>
    </row>
    <row r="102" spans="1:27" x14ac:dyDescent="0.3">
      <c r="A102" s="2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257</v>
      </c>
      <c r="O102" t="s">
        <v>258</v>
      </c>
      <c r="P102">
        <v>48.03</v>
      </c>
      <c r="Q102" s="2">
        <v>45372</v>
      </c>
      <c r="R102" s="2">
        <v>45381</v>
      </c>
      <c r="S102" t="s">
        <v>44</v>
      </c>
      <c r="T102">
        <f t="shared" si="7"/>
        <v>3804.4860000000003</v>
      </c>
      <c r="U102">
        <f t="shared" si="8"/>
        <v>15</v>
      </c>
      <c r="V102">
        <f t="shared" si="9"/>
        <v>4419.3599999999997</v>
      </c>
      <c r="W102">
        <f t="shared" si="10"/>
        <v>662.90399999999954</v>
      </c>
      <c r="X102">
        <f t="shared" si="11"/>
        <v>9</v>
      </c>
      <c r="Y102" cm="1">
        <f t="array" ref="Y102">_xlfn.IFS(H102=0.1,1,H102=0.15,1,H102=0.05,1,H102=0,0)</f>
        <v>1</v>
      </c>
      <c r="Z102">
        <f t="shared" si="12"/>
        <v>11</v>
      </c>
      <c r="AA102">
        <f t="shared" si="13"/>
        <v>2024</v>
      </c>
    </row>
    <row r="103" spans="1:27" x14ac:dyDescent="0.3">
      <c r="A103" s="2">
        <v>45021</v>
      </c>
      <c r="B103" t="s">
        <v>71</v>
      </c>
      <c r="C103" t="s">
        <v>132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65</v>
      </c>
      <c r="L103" t="s">
        <v>25</v>
      </c>
      <c r="M103">
        <v>0</v>
      </c>
      <c r="N103" t="s">
        <v>259</v>
      </c>
      <c r="O103" t="s">
        <v>260</v>
      </c>
      <c r="P103">
        <v>32.31</v>
      </c>
      <c r="Q103" s="2">
        <v>45021</v>
      </c>
      <c r="R103" s="2">
        <v>45024</v>
      </c>
      <c r="S103" t="s">
        <v>74</v>
      </c>
      <c r="T103">
        <f t="shared" si="7"/>
        <v>695.31</v>
      </c>
      <c r="U103">
        <f t="shared" si="8"/>
        <v>0</v>
      </c>
      <c r="V103">
        <f t="shared" si="9"/>
        <v>663</v>
      </c>
      <c r="W103">
        <f t="shared" si="10"/>
        <v>0</v>
      </c>
      <c r="X103">
        <f t="shared" si="11"/>
        <v>3</v>
      </c>
      <c r="Y103" cm="1">
        <f t="array" ref="Y103">_xlfn.IFS(H103=0.1,1,H103=0.15,1,H103=0.05,1,H103=0,0)</f>
        <v>0</v>
      </c>
      <c r="Z103">
        <f t="shared" si="12"/>
        <v>0</v>
      </c>
      <c r="AA103">
        <f t="shared" si="13"/>
        <v>2023</v>
      </c>
    </row>
    <row r="104" spans="1:27" x14ac:dyDescent="0.3">
      <c r="A104" s="2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L104" t="s">
        <v>59</v>
      </c>
      <c r="M104">
        <v>0</v>
      </c>
      <c r="N104" t="s">
        <v>261</v>
      </c>
      <c r="O104" t="s">
        <v>262</v>
      </c>
      <c r="P104">
        <v>6.77</v>
      </c>
      <c r="Q104" s="2">
        <v>45530</v>
      </c>
      <c r="R104" s="2">
        <v>45536</v>
      </c>
      <c r="S104" t="s">
        <v>28</v>
      </c>
      <c r="T104">
        <f t="shared" si="7"/>
        <v>1080.9349999999999</v>
      </c>
      <c r="U104">
        <f t="shared" si="8"/>
        <v>5</v>
      </c>
      <c r="V104">
        <f t="shared" si="9"/>
        <v>1130.6999999999998</v>
      </c>
      <c r="W104">
        <f t="shared" si="10"/>
        <v>56.534999999999854</v>
      </c>
      <c r="X104">
        <f t="shared" si="11"/>
        <v>6</v>
      </c>
      <c r="Y104" cm="1">
        <f t="array" ref="Y104">_xlfn.IFS(H104=0.1,1,H104=0.15,1,H104=0.05,1,H104=0,0)</f>
        <v>1</v>
      </c>
      <c r="Z104">
        <f t="shared" si="12"/>
        <v>6</v>
      </c>
      <c r="AA104">
        <f t="shared" si="13"/>
        <v>2024</v>
      </c>
    </row>
    <row r="105" spans="1:27" x14ac:dyDescent="0.3">
      <c r="A105" s="2">
        <v>45480</v>
      </c>
      <c r="B105" t="s">
        <v>39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68</v>
      </c>
      <c r="J105">
        <v>1698.6</v>
      </c>
      <c r="K105" t="s">
        <v>34</v>
      </c>
      <c r="L105" t="s">
        <v>25</v>
      </c>
      <c r="M105">
        <v>1</v>
      </c>
      <c r="N105" t="s">
        <v>263</v>
      </c>
      <c r="O105" t="s">
        <v>264</v>
      </c>
      <c r="P105">
        <v>28.97</v>
      </c>
      <c r="Q105" s="2">
        <v>45480</v>
      </c>
      <c r="R105" s="2">
        <v>45490</v>
      </c>
      <c r="S105" t="s">
        <v>44</v>
      </c>
      <c r="T105">
        <f t="shared" si="7"/>
        <v>1728.57</v>
      </c>
      <c r="U105">
        <f t="shared" si="8"/>
        <v>0</v>
      </c>
      <c r="V105">
        <f t="shared" si="9"/>
        <v>1698.6000000000001</v>
      </c>
      <c r="W105">
        <f t="shared" si="10"/>
        <v>0</v>
      </c>
      <c r="X105">
        <f t="shared" si="11"/>
        <v>10</v>
      </c>
      <c r="Y105" cm="1">
        <f t="array" ref="Y105">_xlfn.IFS(H105=0.1,1,H105=0.15,1,H105=0.05,1,H105=0,0)</f>
        <v>0</v>
      </c>
      <c r="Z105">
        <f t="shared" si="12"/>
        <v>0</v>
      </c>
      <c r="AA105">
        <f t="shared" si="13"/>
        <v>2024</v>
      </c>
    </row>
    <row r="106" spans="1:27" x14ac:dyDescent="0.3">
      <c r="A106" s="2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265</v>
      </c>
      <c r="O106" t="s">
        <v>266</v>
      </c>
      <c r="P106">
        <v>47.05</v>
      </c>
      <c r="Q106" s="2">
        <v>45198</v>
      </c>
      <c r="R106" s="2">
        <v>45207</v>
      </c>
      <c r="S106" t="s">
        <v>28</v>
      </c>
      <c r="T106">
        <f t="shared" si="7"/>
        <v>2270.3470000000002</v>
      </c>
      <c r="U106">
        <f t="shared" si="8"/>
        <v>5</v>
      </c>
      <c r="V106">
        <f t="shared" si="9"/>
        <v>2339.2600000000002</v>
      </c>
      <c r="W106">
        <f t="shared" si="10"/>
        <v>116.96300000000019</v>
      </c>
      <c r="X106">
        <f t="shared" si="11"/>
        <v>9</v>
      </c>
      <c r="Y106" cm="1">
        <f t="array" ref="Y106">_xlfn.IFS(H106=0.1,1,H106=0.15,1,H106=0.05,1,H106=0,0)</f>
        <v>1</v>
      </c>
      <c r="Z106">
        <f t="shared" si="12"/>
        <v>14</v>
      </c>
      <c r="AA106">
        <f t="shared" si="13"/>
        <v>2023</v>
      </c>
    </row>
    <row r="107" spans="1:27" x14ac:dyDescent="0.3">
      <c r="A107" s="2">
        <v>45203</v>
      </c>
      <c r="B107" t="s">
        <v>71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62</v>
      </c>
      <c r="L107" t="s">
        <v>25</v>
      </c>
      <c r="M107">
        <v>0</v>
      </c>
      <c r="N107" t="s">
        <v>267</v>
      </c>
      <c r="O107" t="s">
        <v>268</v>
      </c>
      <c r="P107">
        <v>26.64</v>
      </c>
      <c r="Q107" s="2">
        <v>45203</v>
      </c>
      <c r="R107" s="2">
        <v>45210</v>
      </c>
      <c r="S107" t="s">
        <v>74</v>
      </c>
      <c r="T107">
        <f t="shared" si="7"/>
        <v>547.34399999999994</v>
      </c>
      <c r="U107">
        <f t="shared" si="8"/>
        <v>10</v>
      </c>
      <c r="V107">
        <f t="shared" si="9"/>
        <v>578.55999999999995</v>
      </c>
      <c r="W107">
        <f t="shared" si="10"/>
        <v>57.855999999999995</v>
      </c>
      <c r="X107">
        <f t="shared" si="11"/>
        <v>7</v>
      </c>
      <c r="Y107" cm="1">
        <f t="array" ref="Y107">_xlfn.IFS(H107=0.1,1,H107=0.15,1,H107=0.05,1,H107=0,0)</f>
        <v>1</v>
      </c>
      <c r="Z107">
        <f t="shared" si="12"/>
        <v>16</v>
      </c>
      <c r="AA107">
        <f t="shared" si="13"/>
        <v>2023</v>
      </c>
    </row>
    <row r="108" spans="1:27" x14ac:dyDescent="0.3">
      <c r="A108" s="2">
        <v>45817</v>
      </c>
      <c r="B108" t="s">
        <v>45</v>
      </c>
      <c r="C108" t="s">
        <v>132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62</v>
      </c>
      <c r="L108" t="s">
        <v>35</v>
      </c>
      <c r="M108">
        <v>0</v>
      </c>
      <c r="N108" t="s">
        <v>269</v>
      </c>
      <c r="O108" t="s">
        <v>270</v>
      </c>
      <c r="P108">
        <v>28.05</v>
      </c>
      <c r="Q108" s="2">
        <v>45817</v>
      </c>
      <c r="R108" s="2">
        <v>45824</v>
      </c>
      <c r="S108" t="s">
        <v>50</v>
      </c>
      <c r="T108">
        <f t="shared" si="7"/>
        <v>168.536</v>
      </c>
      <c r="U108">
        <f t="shared" si="8"/>
        <v>5</v>
      </c>
      <c r="V108">
        <f t="shared" si="9"/>
        <v>147.88</v>
      </c>
      <c r="W108">
        <f t="shared" si="10"/>
        <v>7.3940000000000055</v>
      </c>
      <c r="X108">
        <f t="shared" si="11"/>
        <v>7</v>
      </c>
      <c r="Y108" cm="1">
        <f t="array" ref="Y108">_xlfn.IFS(H108=0.1,1,H108=0.15,1,H108=0.05,1,H108=0,0)</f>
        <v>1</v>
      </c>
      <c r="Z108">
        <f t="shared" si="12"/>
        <v>2</v>
      </c>
      <c r="AA108">
        <f t="shared" si="13"/>
        <v>2025</v>
      </c>
    </row>
    <row r="109" spans="1:27" x14ac:dyDescent="0.3">
      <c r="A109" s="2">
        <v>45820</v>
      </c>
      <c r="B109" t="s">
        <v>19</v>
      </c>
      <c r="C109" t="s">
        <v>132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271</v>
      </c>
      <c r="O109" t="s">
        <v>272</v>
      </c>
      <c r="P109">
        <v>26.99</v>
      </c>
      <c r="Q109" s="2">
        <v>45820</v>
      </c>
      <c r="R109" s="2">
        <v>45822</v>
      </c>
      <c r="S109" t="s">
        <v>28</v>
      </c>
      <c r="T109">
        <f t="shared" si="7"/>
        <v>6643.6459999999997</v>
      </c>
      <c r="U109">
        <f t="shared" si="8"/>
        <v>10</v>
      </c>
      <c r="V109">
        <f t="shared" si="9"/>
        <v>7351.84</v>
      </c>
      <c r="W109">
        <f t="shared" si="10"/>
        <v>735.1840000000002</v>
      </c>
      <c r="X109">
        <f t="shared" si="11"/>
        <v>2</v>
      </c>
      <c r="Y109" cm="1">
        <f t="array" ref="Y109">_xlfn.IFS(H109=0.1,1,H109=0.15,1,H109=0.05,1,H109=0,0)</f>
        <v>1</v>
      </c>
      <c r="Z109">
        <f t="shared" si="12"/>
        <v>16</v>
      </c>
      <c r="AA109">
        <f t="shared" si="13"/>
        <v>2025</v>
      </c>
    </row>
    <row r="110" spans="1:27" x14ac:dyDescent="0.3">
      <c r="A110" s="2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65</v>
      </c>
      <c r="L110" t="s">
        <v>59</v>
      </c>
      <c r="M110">
        <v>1</v>
      </c>
      <c r="N110" t="s">
        <v>273</v>
      </c>
      <c r="O110" t="s">
        <v>274</v>
      </c>
      <c r="P110">
        <v>21.08</v>
      </c>
      <c r="Q110" s="2">
        <v>45472</v>
      </c>
      <c r="R110" s="2">
        <v>45479</v>
      </c>
      <c r="S110" t="s">
        <v>28</v>
      </c>
      <c r="T110">
        <f t="shared" si="7"/>
        <v>526.23</v>
      </c>
      <c r="U110">
        <f t="shared" si="8"/>
        <v>0</v>
      </c>
      <c r="V110">
        <f t="shared" si="9"/>
        <v>504.15000000000003</v>
      </c>
      <c r="W110">
        <f t="shared" si="10"/>
        <v>0</v>
      </c>
      <c r="X110">
        <f t="shared" si="11"/>
        <v>7</v>
      </c>
      <c r="Y110" cm="1">
        <f t="array" ref="Y110">_xlfn.IFS(H110=0.1,1,H110=0.15,1,H110=0.05,1,H110=0,0)</f>
        <v>0</v>
      </c>
      <c r="Z110">
        <f t="shared" si="12"/>
        <v>0</v>
      </c>
      <c r="AA110">
        <f t="shared" si="13"/>
        <v>2024</v>
      </c>
    </row>
    <row r="111" spans="1:27" x14ac:dyDescent="0.3">
      <c r="A111" s="2">
        <v>45374</v>
      </c>
      <c r="B111" t="s">
        <v>39</v>
      </c>
      <c r="C111" t="s">
        <v>132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446.72599999999989</v>
      </c>
      <c r="K111" t="s">
        <v>58</v>
      </c>
      <c r="L111" t="s">
        <v>59</v>
      </c>
      <c r="M111">
        <v>1</v>
      </c>
      <c r="N111" t="s">
        <v>275</v>
      </c>
      <c r="O111" t="s">
        <v>276</v>
      </c>
      <c r="P111">
        <v>49.6</v>
      </c>
      <c r="Q111" s="2">
        <v>45374</v>
      </c>
      <c r="R111" s="2">
        <v>45384</v>
      </c>
      <c r="S111" t="s">
        <v>44</v>
      </c>
      <c r="T111">
        <f t="shared" si="7"/>
        <v>497.32599999999991</v>
      </c>
      <c r="U111">
        <f t="shared" si="8"/>
        <v>15</v>
      </c>
      <c r="V111">
        <f t="shared" si="9"/>
        <v>525.55999999999995</v>
      </c>
      <c r="W111">
        <f t="shared" si="10"/>
        <v>78.83400000000006</v>
      </c>
      <c r="X111">
        <f t="shared" si="11"/>
        <v>10</v>
      </c>
      <c r="Y111" cm="1">
        <f t="array" ref="Y111">_xlfn.IFS(H111=0.1,1,H111=0.15,1,H111=0.05,1,H111=0,0)</f>
        <v>1</v>
      </c>
      <c r="Z111">
        <f t="shared" si="12"/>
        <v>14</v>
      </c>
      <c r="AA111">
        <f t="shared" si="13"/>
        <v>2024</v>
      </c>
    </row>
    <row r="112" spans="1:27" x14ac:dyDescent="0.3">
      <c r="A112" s="2">
        <v>45487</v>
      </c>
      <c r="B112" t="s">
        <v>29</v>
      </c>
      <c r="C112" t="s">
        <v>81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277</v>
      </c>
      <c r="O112" t="s">
        <v>278</v>
      </c>
      <c r="P112">
        <v>41.4</v>
      </c>
      <c r="Q112" s="2">
        <v>45487</v>
      </c>
      <c r="R112" s="2">
        <v>45494</v>
      </c>
      <c r="S112" t="s">
        <v>38</v>
      </c>
      <c r="T112">
        <f t="shared" si="7"/>
        <v>647.04</v>
      </c>
      <c r="U112">
        <f t="shared" si="8"/>
        <v>0</v>
      </c>
      <c r="V112">
        <f t="shared" si="9"/>
        <v>604.64</v>
      </c>
      <c r="W112">
        <f t="shared" si="10"/>
        <v>0</v>
      </c>
      <c r="X112">
        <f t="shared" si="11"/>
        <v>7</v>
      </c>
      <c r="Y112" cm="1">
        <f t="array" ref="Y112">_xlfn.IFS(H112=0.1,1,H112=0.15,1,H112=0.05,1,H112=0,0)</f>
        <v>0</v>
      </c>
      <c r="Z112">
        <f t="shared" si="12"/>
        <v>0</v>
      </c>
      <c r="AA112">
        <f t="shared" si="13"/>
        <v>2024</v>
      </c>
    </row>
    <row r="113" spans="1:27" x14ac:dyDescent="0.3">
      <c r="A113" s="2">
        <v>45366</v>
      </c>
      <c r="B113" t="s">
        <v>29</v>
      </c>
      <c r="C113" t="s">
        <v>81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68</v>
      </c>
      <c r="J113">
        <v>1202.2739999999999</v>
      </c>
      <c r="K113" t="s">
        <v>34</v>
      </c>
      <c r="L113" t="s">
        <v>41</v>
      </c>
      <c r="M113">
        <v>0</v>
      </c>
      <c r="N113" t="s">
        <v>279</v>
      </c>
      <c r="O113" t="s">
        <v>280</v>
      </c>
      <c r="P113">
        <v>8.02</v>
      </c>
      <c r="Q113" s="2">
        <v>45366</v>
      </c>
      <c r="R113" s="2">
        <v>45376</v>
      </c>
      <c r="S113" t="s">
        <v>38</v>
      </c>
      <c r="T113">
        <f t="shared" si="7"/>
        <v>1210.2939999999999</v>
      </c>
      <c r="U113">
        <f t="shared" si="8"/>
        <v>10</v>
      </c>
      <c r="V113">
        <f t="shared" si="9"/>
        <v>1335.86</v>
      </c>
      <c r="W113">
        <f t="shared" si="10"/>
        <v>133.58600000000001</v>
      </c>
      <c r="X113">
        <f t="shared" si="11"/>
        <v>10</v>
      </c>
      <c r="Y113" cm="1">
        <f t="array" ref="Y113">_xlfn.IFS(H113=0.1,1,H113=0.15,1,H113=0.05,1,H113=0,0)</f>
        <v>1</v>
      </c>
      <c r="Z113">
        <f t="shared" si="12"/>
        <v>17</v>
      </c>
      <c r="AA113">
        <f t="shared" si="13"/>
        <v>2024</v>
      </c>
    </row>
    <row r="114" spans="1:27" x14ac:dyDescent="0.3">
      <c r="A114" s="2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531.95249999999987</v>
      </c>
      <c r="K114" t="s">
        <v>65</v>
      </c>
      <c r="L114" t="s">
        <v>59</v>
      </c>
      <c r="M114">
        <v>1</v>
      </c>
      <c r="N114" t="s">
        <v>281</v>
      </c>
      <c r="O114" t="s">
        <v>282</v>
      </c>
      <c r="P114">
        <v>43.69</v>
      </c>
      <c r="Q114" s="2">
        <v>45766</v>
      </c>
      <c r="R114" s="2">
        <v>45771</v>
      </c>
      <c r="S114" t="s">
        <v>50</v>
      </c>
      <c r="T114">
        <f t="shared" si="7"/>
        <v>576.64249999999993</v>
      </c>
      <c r="U114">
        <f t="shared" si="8"/>
        <v>5</v>
      </c>
      <c r="V114">
        <f t="shared" si="9"/>
        <v>559.94999999999993</v>
      </c>
      <c r="W114">
        <f t="shared" si="10"/>
        <v>27.997500000000059</v>
      </c>
      <c r="X114">
        <f t="shared" si="11"/>
        <v>5</v>
      </c>
      <c r="Y114" cm="1">
        <f t="array" ref="Y114">_xlfn.IFS(H114=0.1,1,H114=0.15,1,H114=0.05,1,H114=0,0)</f>
        <v>1</v>
      </c>
      <c r="Z114">
        <f t="shared" si="12"/>
        <v>15</v>
      </c>
      <c r="AA114">
        <f t="shared" si="13"/>
        <v>2025</v>
      </c>
    </row>
    <row r="115" spans="1:27" x14ac:dyDescent="0.3">
      <c r="A115" s="2">
        <v>45337</v>
      </c>
      <c r="B115" t="s">
        <v>71</v>
      </c>
      <c r="C115" t="s">
        <v>81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62</v>
      </c>
      <c r="L115" t="s">
        <v>35</v>
      </c>
      <c r="M115">
        <v>0</v>
      </c>
      <c r="N115" t="s">
        <v>283</v>
      </c>
      <c r="O115" t="s">
        <v>284</v>
      </c>
      <c r="P115">
        <v>23.94</v>
      </c>
      <c r="Q115" s="2">
        <v>45337</v>
      </c>
      <c r="R115" s="2">
        <v>45342</v>
      </c>
      <c r="S115" t="s">
        <v>74</v>
      </c>
      <c r="T115">
        <f t="shared" si="7"/>
        <v>8240.3460000000014</v>
      </c>
      <c r="U115">
        <f t="shared" si="8"/>
        <v>15</v>
      </c>
      <c r="V115">
        <f t="shared" si="9"/>
        <v>9666.36</v>
      </c>
      <c r="W115">
        <f t="shared" si="10"/>
        <v>1449.9539999999997</v>
      </c>
      <c r="X115">
        <f t="shared" si="11"/>
        <v>5</v>
      </c>
      <c r="Y115" cm="1">
        <f t="array" ref="Y115">_xlfn.IFS(H115=0.1,1,H115=0.15,1,H115=0.05,1,H115=0,0)</f>
        <v>1</v>
      </c>
      <c r="Z115">
        <f t="shared" si="12"/>
        <v>18</v>
      </c>
      <c r="AA115">
        <f t="shared" si="13"/>
        <v>2024</v>
      </c>
    </row>
    <row r="116" spans="1:27" x14ac:dyDescent="0.3">
      <c r="A116" s="2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285</v>
      </c>
      <c r="O116" t="s">
        <v>286</v>
      </c>
      <c r="P116">
        <v>28.36</v>
      </c>
      <c r="Q116" s="2">
        <v>45316</v>
      </c>
      <c r="R116" s="2">
        <v>45326</v>
      </c>
      <c r="S116" t="s">
        <v>28</v>
      </c>
      <c r="T116">
        <f t="shared" si="7"/>
        <v>1106.3599999999999</v>
      </c>
      <c r="U116">
        <f t="shared" si="8"/>
        <v>0</v>
      </c>
      <c r="V116">
        <f t="shared" si="9"/>
        <v>1078</v>
      </c>
      <c r="W116">
        <f t="shared" si="10"/>
        <v>0</v>
      </c>
      <c r="X116">
        <f t="shared" si="11"/>
        <v>10</v>
      </c>
      <c r="Y116" cm="1">
        <f t="array" ref="Y116">_xlfn.IFS(H116=0.1,1,H116=0.15,1,H116=0.05,1,H116=0,0)</f>
        <v>0</v>
      </c>
      <c r="Z116">
        <f t="shared" si="12"/>
        <v>0</v>
      </c>
      <c r="AA116">
        <f t="shared" si="13"/>
        <v>2024</v>
      </c>
    </row>
    <row r="117" spans="1:27" x14ac:dyDescent="0.3">
      <c r="A117" s="2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287</v>
      </c>
      <c r="O117" t="s">
        <v>288</v>
      </c>
      <c r="P117">
        <v>38.229999999999997</v>
      </c>
      <c r="Q117" s="2">
        <v>45762</v>
      </c>
      <c r="R117" s="2">
        <v>45770</v>
      </c>
      <c r="S117" t="s">
        <v>50</v>
      </c>
      <c r="T117">
        <f t="shared" si="7"/>
        <v>3809.23</v>
      </c>
      <c r="U117">
        <f t="shared" si="8"/>
        <v>0</v>
      </c>
      <c r="V117">
        <f t="shared" si="9"/>
        <v>3771</v>
      </c>
      <c r="W117">
        <f t="shared" si="10"/>
        <v>0</v>
      </c>
      <c r="X117">
        <f t="shared" si="11"/>
        <v>8</v>
      </c>
      <c r="Y117" cm="1">
        <f t="array" ref="Y117">_xlfn.IFS(H117=0.1,1,H117=0.15,1,H117=0.05,1,H117=0,0)</f>
        <v>0</v>
      </c>
      <c r="Z117">
        <f t="shared" si="12"/>
        <v>0</v>
      </c>
      <c r="AA117">
        <f t="shared" si="13"/>
        <v>2025</v>
      </c>
    </row>
    <row r="118" spans="1:27" x14ac:dyDescent="0.3">
      <c r="A118" s="2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289</v>
      </c>
      <c r="O118" t="s">
        <v>290</v>
      </c>
      <c r="P118">
        <v>19.170000000000002</v>
      </c>
      <c r="Q118" s="2">
        <v>45762</v>
      </c>
      <c r="R118" s="2">
        <v>45767</v>
      </c>
      <c r="S118" t="s">
        <v>50</v>
      </c>
      <c r="T118">
        <f t="shared" si="7"/>
        <v>2531.826</v>
      </c>
      <c r="U118">
        <f t="shared" si="8"/>
        <v>10</v>
      </c>
      <c r="V118">
        <f t="shared" si="9"/>
        <v>2791.84</v>
      </c>
      <c r="W118">
        <f t="shared" si="10"/>
        <v>279.1840000000002</v>
      </c>
      <c r="X118">
        <f t="shared" si="11"/>
        <v>5</v>
      </c>
      <c r="Y118" cm="1">
        <f t="array" ref="Y118">_xlfn.IFS(H118=0.1,1,H118=0.15,1,H118=0.05,1,H118=0,0)</f>
        <v>1</v>
      </c>
      <c r="Z118">
        <f t="shared" si="12"/>
        <v>8</v>
      </c>
      <c r="AA118">
        <f t="shared" si="13"/>
        <v>2025</v>
      </c>
    </row>
    <row r="119" spans="1:27" x14ac:dyDescent="0.3">
      <c r="A119" s="2">
        <v>45515</v>
      </c>
      <c r="B119" t="s">
        <v>71</v>
      </c>
      <c r="C119" t="s">
        <v>132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291</v>
      </c>
      <c r="O119" t="s">
        <v>292</v>
      </c>
      <c r="P119">
        <v>5.13</v>
      </c>
      <c r="Q119" s="2">
        <v>45515</v>
      </c>
      <c r="R119" s="2">
        <v>45517</v>
      </c>
      <c r="S119" t="s">
        <v>74</v>
      </c>
      <c r="T119">
        <f t="shared" si="7"/>
        <v>554.49599999999998</v>
      </c>
      <c r="U119">
        <f t="shared" si="8"/>
        <v>5</v>
      </c>
      <c r="V119">
        <f t="shared" si="9"/>
        <v>578.28</v>
      </c>
      <c r="W119">
        <f t="shared" si="10"/>
        <v>28.913999999999987</v>
      </c>
      <c r="X119">
        <f t="shared" si="11"/>
        <v>2</v>
      </c>
      <c r="Y119" cm="1">
        <f t="array" ref="Y119">_xlfn.IFS(H119=0.1,1,H119=0.15,1,H119=0.05,1,H119=0,0)</f>
        <v>1</v>
      </c>
      <c r="Z119">
        <f t="shared" si="12"/>
        <v>2</v>
      </c>
      <c r="AA119">
        <f t="shared" si="13"/>
        <v>2024</v>
      </c>
    </row>
    <row r="120" spans="1:27" x14ac:dyDescent="0.3">
      <c r="A120" s="2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293</v>
      </c>
      <c r="O120" t="s">
        <v>294</v>
      </c>
      <c r="P120">
        <v>48.63</v>
      </c>
      <c r="Q120" s="2">
        <v>45261</v>
      </c>
      <c r="R120" s="2">
        <v>45268</v>
      </c>
      <c r="S120" t="s">
        <v>38</v>
      </c>
      <c r="T120">
        <f t="shared" si="7"/>
        <v>2033.2800000000002</v>
      </c>
      <c r="U120">
        <f t="shared" si="8"/>
        <v>0</v>
      </c>
      <c r="V120">
        <f t="shared" si="9"/>
        <v>1984.65</v>
      </c>
      <c r="W120">
        <f t="shared" si="10"/>
        <v>0</v>
      </c>
      <c r="X120">
        <f t="shared" si="11"/>
        <v>7</v>
      </c>
      <c r="Y120" cm="1">
        <f t="array" ref="Y120">_xlfn.IFS(H120=0.1,1,H120=0.15,1,H120=0.05,1,H120=0,0)</f>
        <v>0</v>
      </c>
      <c r="Z120">
        <f t="shared" si="12"/>
        <v>0</v>
      </c>
      <c r="AA120">
        <f t="shared" si="13"/>
        <v>2023</v>
      </c>
    </row>
    <row r="121" spans="1:27" x14ac:dyDescent="0.3">
      <c r="A121" s="2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68</v>
      </c>
      <c r="J121">
        <v>4831.415</v>
      </c>
      <c r="K121" t="s">
        <v>24</v>
      </c>
      <c r="L121" t="s">
        <v>35</v>
      </c>
      <c r="M121">
        <v>0</v>
      </c>
      <c r="N121" t="s">
        <v>295</v>
      </c>
      <c r="O121" t="s">
        <v>296</v>
      </c>
      <c r="P121">
        <v>9.35</v>
      </c>
      <c r="Q121" s="2">
        <v>45144</v>
      </c>
      <c r="R121" s="2">
        <v>45149</v>
      </c>
      <c r="S121" t="s">
        <v>50</v>
      </c>
      <c r="T121">
        <f t="shared" si="7"/>
        <v>4840.7650000000003</v>
      </c>
      <c r="U121">
        <f t="shared" si="8"/>
        <v>5</v>
      </c>
      <c r="V121">
        <f t="shared" si="9"/>
        <v>5085.7</v>
      </c>
      <c r="W121">
        <f t="shared" si="10"/>
        <v>254.28499999999985</v>
      </c>
      <c r="X121">
        <f t="shared" si="11"/>
        <v>5</v>
      </c>
      <c r="Y121" cm="1">
        <f t="array" ref="Y121">_xlfn.IFS(H121=0.1,1,H121=0.15,1,H121=0.05,1,H121=0,0)</f>
        <v>1</v>
      </c>
      <c r="Z121">
        <f t="shared" si="12"/>
        <v>10</v>
      </c>
      <c r="AA121">
        <f t="shared" si="13"/>
        <v>2023</v>
      </c>
    </row>
    <row r="122" spans="1:27" x14ac:dyDescent="0.3">
      <c r="A122" s="2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65</v>
      </c>
      <c r="L122" t="s">
        <v>25</v>
      </c>
      <c r="M122">
        <v>0</v>
      </c>
      <c r="N122" t="s">
        <v>297</v>
      </c>
      <c r="O122" t="s">
        <v>298</v>
      </c>
      <c r="P122">
        <v>13.73</v>
      </c>
      <c r="Q122" s="2">
        <v>45315</v>
      </c>
      <c r="R122" s="2">
        <v>45322</v>
      </c>
      <c r="S122" t="s">
        <v>50</v>
      </c>
      <c r="T122">
        <f t="shared" si="7"/>
        <v>2583.8690000000001</v>
      </c>
      <c r="U122">
        <f t="shared" si="8"/>
        <v>10</v>
      </c>
      <c r="V122">
        <f t="shared" si="9"/>
        <v>2855.71</v>
      </c>
      <c r="W122">
        <f t="shared" si="10"/>
        <v>285.57099999999991</v>
      </c>
      <c r="X122">
        <f t="shared" si="11"/>
        <v>7</v>
      </c>
      <c r="Y122" cm="1">
        <f t="array" ref="Y122">_xlfn.IFS(H122=0.1,1,H122=0.15,1,H122=0.05,1,H122=0,0)</f>
        <v>1</v>
      </c>
      <c r="Z122">
        <f t="shared" si="12"/>
        <v>11</v>
      </c>
      <c r="AA122">
        <f t="shared" si="13"/>
        <v>2024</v>
      </c>
    </row>
    <row r="123" spans="1:27" x14ac:dyDescent="0.3">
      <c r="A123" s="2">
        <v>45358</v>
      </c>
      <c r="B123" t="s">
        <v>45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299</v>
      </c>
      <c r="O123" t="s">
        <v>300</v>
      </c>
      <c r="P123">
        <v>14.04</v>
      </c>
      <c r="Q123" s="2">
        <v>45358</v>
      </c>
      <c r="R123" s="2">
        <v>45364</v>
      </c>
      <c r="S123" t="s">
        <v>50</v>
      </c>
      <c r="T123">
        <f t="shared" si="7"/>
        <v>2833.65</v>
      </c>
      <c r="U123">
        <f t="shared" si="8"/>
        <v>0</v>
      </c>
      <c r="V123">
        <f t="shared" si="9"/>
        <v>2819.61</v>
      </c>
      <c r="W123">
        <f t="shared" si="10"/>
        <v>0</v>
      </c>
      <c r="X123">
        <f t="shared" si="11"/>
        <v>6</v>
      </c>
      <c r="Y123" cm="1">
        <f t="array" ref="Y123">_xlfn.IFS(H123=0.1,1,H123=0.15,1,H123=0.05,1,H123=0,0)</f>
        <v>0</v>
      </c>
      <c r="Z123">
        <f t="shared" si="12"/>
        <v>0</v>
      </c>
      <c r="AA123">
        <f t="shared" si="13"/>
        <v>2024</v>
      </c>
    </row>
    <row r="124" spans="1:27" x14ac:dyDescent="0.3">
      <c r="A124" s="2">
        <v>45313</v>
      </c>
      <c r="B124" t="s">
        <v>29</v>
      </c>
      <c r="C124" t="s">
        <v>81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479.56499999999988</v>
      </c>
      <c r="K124" t="s">
        <v>62</v>
      </c>
      <c r="L124" t="s">
        <v>35</v>
      </c>
      <c r="M124">
        <v>1</v>
      </c>
      <c r="N124" t="s">
        <v>301</v>
      </c>
      <c r="O124" t="s">
        <v>302</v>
      </c>
      <c r="P124">
        <v>25.24</v>
      </c>
      <c r="Q124" s="2">
        <v>45313</v>
      </c>
      <c r="R124" s="2">
        <v>45319</v>
      </c>
      <c r="S124" t="s">
        <v>38</v>
      </c>
      <c r="T124">
        <f t="shared" si="7"/>
        <v>505.80499999999989</v>
      </c>
      <c r="U124">
        <f t="shared" si="8"/>
        <v>10</v>
      </c>
      <c r="V124">
        <f t="shared" si="9"/>
        <v>532.84999999999991</v>
      </c>
      <c r="W124">
        <f t="shared" si="10"/>
        <v>53.285000000000025</v>
      </c>
      <c r="X124">
        <f t="shared" si="11"/>
        <v>6</v>
      </c>
      <c r="Y124" cm="1">
        <f t="array" ref="Y124">_xlfn.IFS(H124=0.1,1,H124=0.15,1,H124=0.05,1,H124=0,0)</f>
        <v>1</v>
      </c>
      <c r="Z124">
        <f t="shared" si="12"/>
        <v>5</v>
      </c>
      <c r="AA124">
        <f t="shared" si="13"/>
        <v>2024</v>
      </c>
    </row>
    <row r="125" spans="1:27" x14ac:dyDescent="0.3">
      <c r="A125" s="2">
        <v>44980</v>
      </c>
      <c r="B125" t="s">
        <v>19</v>
      </c>
      <c r="C125" t="s">
        <v>132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92.649999999999991</v>
      </c>
      <c r="K125" t="s">
        <v>65</v>
      </c>
      <c r="L125" t="s">
        <v>41</v>
      </c>
      <c r="M125">
        <v>1</v>
      </c>
      <c r="N125" t="s">
        <v>303</v>
      </c>
      <c r="O125" t="s">
        <v>304</v>
      </c>
      <c r="P125">
        <v>8.0299999999999994</v>
      </c>
      <c r="Q125" s="2">
        <v>44980</v>
      </c>
      <c r="R125" s="2">
        <v>44984</v>
      </c>
      <c r="S125" t="s">
        <v>28</v>
      </c>
      <c r="T125">
        <f t="shared" si="7"/>
        <v>101.67999999999999</v>
      </c>
      <c r="U125">
        <f t="shared" si="8"/>
        <v>15</v>
      </c>
      <c r="V125">
        <f t="shared" si="9"/>
        <v>109</v>
      </c>
      <c r="W125">
        <f t="shared" si="10"/>
        <v>16.350000000000009</v>
      </c>
      <c r="X125">
        <f t="shared" si="11"/>
        <v>4</v>
      </c>
      <c r="Y125" cm="1">
        <f t="array" ref="Y125">_xlfn.IFS(H125=0.1,1,H125=0.15,1,H125=0.05,1,H125=0,0)</f>
        <v>1</v>
      </c>
      <c r="Z125">
        <f t="shared" si="12"/>
        <v>1</v>
      </c>
      <c r="AA125">
        <f t="shared" si="13"/>
        <v>2023</v>
      </c>
    </row>
    <row r="126" spans="1:27" x14ac:dyDescent="0.3">
      <c r="A126" s="2">
        <v>45091</v>
      </c>
      <c r="B126" t="s">
        <v>39</v>
      </c>
      <c r="C126" t="s">
        <v>81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65</v>
      </c>
      <c r="L126" t="s">
        <v>35</v>
      </c>
      <c r="M126">
        <v>1</v>
      </c>
      <c r="N126" t="s">
        <v>305</v>
      </c>
      <c r="O126" t="s">
        <v>306</v>
      </c>
      <c r="P126">
        <v>35.229999999999997</v>
      </c>
      <c r="Q126" s="2">
        <v>45091</v>
      </c>
      <c r="R126" s="2">
        <v>45099</v>
      </c>
      <c r="S126" t="s">
        <v>44</v>
      </c>
      <c r="T126">
        <f t="shared" si="7"/>
        <v>2626.63</v>
      </c>
      <c r="U126">
        <f t="shared" si="8"/>
        <v>0</v>
      </c>
      <c r="V126">
        <f t="shared" si="9"/>
        <v>2590.4</v>
      </c>
      <c r="W126">
        <f t="shared" si="10"/>
        <v>0</v>
      </c>
      <c r="X126">
        <f t="shared" si="11"/>
        <v>8</v>
      </c>
      <c r="Y126" cm="1">
        <f t="array" ref="Y126">_xlfn.IFS(H126=0.1,1,H126=0.15,1,H126=0.05,1,H126=0,0)</f>
        <v>0</v>
      </c>
      <c r="Z126">
        <f t="shared" si="12"/>
        <v>0</v>
      </c>
      <c r="AA126">
        <f t="shared" si="13"/>
        <v>2023</v>
      </c>
    </row>
    <row r="127" spans="1:27" x14ac:dyDescent="0.3">
      <c r="A127" s="2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65</v>
      </c>
      <c r="L127" t="s">
        <v>25</v>
      </c>
      <c r="M127">
        <v>0</v>
      </c>
      <c r="N127" t="s">
        <v>307</v>
      </c>
      <c r="O127" t="s">
        <v>308</v>
      </c>
      <c r="P127">
        <v>21.5</v>
      </c>
      <c r="Q127" s="2">
        <v>45790</v>
      </c>
      <c r="R127" s="2">
        <v>45792</v>
      </c>
      <c r="S127" t="s">
        <v>44</v>
      </c>
      <c r="T127">
        <f t="shared" si="7"/>
        <v>5863.1639999999998</v>
      </c>
      <c r="U127">
        <f t="shared" si="8"/>
        <v>5</v>
      </c>
      <c r="V127">
        <f t="shared" si="9"/>
        <v>6149.12</v>
      </c>
      <c r="W127">
        <f t="shared" si="10"/>
        <v>307.45600000000013</v>
      </c>
      <c r="X127">
        <f t="shared" si="11"/>
        <v>2</v>
      </c>
      <c r="Y127" cm="1">
        <f t="array" ref="Y127">_xlfn.IFS(H127=0.1,1,H127=0.15,1,H127=0.05,1,H127=0,0)</f>
        <v>1</v>
      </c>
      <c r="Z127">
        <f t="shared" si="12"/>
        <v>16</v>
      </c>
      <c r="AA127">
        <f t="shared" si="13"/>
        <v>2025</v>
      </c>
    </row>
    <row r="128" spans="1:27" x14ac:dyDescent="0.3">
      <c r="A128" s="2">
        <v>45503</v>
      </c>
      <c r="B128" t="s">
        <v>45</v>
      </c>
      <c r="C128" t="s">
        <v>132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309</v>
      </c>
      <c r="O128" t="s">
        <v>310</v>
      </c>
      <c r="P128">
        <v>37.950000000000003</v>
      </c>
      <c r="Q128" s="2">
        <v>45503</v>
      </c>
      <c r="R128" s="2">
        <v>45510</v>
      </c>
      <c r="S128" t="s">
        <v>50</v>
      </c>
      <c r="T128">
        <f t="shared" si="7"/>
        <v>2266.4459999999999</v>
      </c>
      <c r="U128">
        <f t="shared" si="8"/>
        <v>15</v>
      </c>
      <c r="V128">
        <f t="shared" si="9"/>
        <v>2621.76</v>
      </c>
      <c r="W128">
        <f t="shared" si="10"/>
        <v>393.26400000000012</v>
      </c>
      <c r="X128">
        <f t="shared" si="11"/>
        <v>7</v>
      </c>
      <c r="Y128" cm="1">
        <f t="array" ref="Y128">_xlfn.IFS(H128=0.1,1,H128=0.15,1,H128=0.05,1,H128=0,0)</f>
        <v>1</v>
      </c>
      <c r="Z128">
        <f t="shared" si="12"/>
        <v>16</v>
      </c>
      <c r="AA128">
        <f t="shared" si="13"/>
        <v>2024</v>
      </c>
    </row>
    <row r="129" spans="1:27" x14ac:dyDescent="0.3">
      <c r="A129" s="2">
        <v>45491</v>
      </c>
      <c r="B129" t="s">
        <v>19</v>
      </c>
      <c r="C129" t="s">
        <v>81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311</v>
      </c>
      <c r="O129" t="s">
        <v>312</v>
      </c>
      <c r="P129">
        <v>26.44</v>
      </c>
      <c r="Q129" s="2">
        <v>45491</v>
      </c>
      <c r="R129" s="2">
        <v>45500</v>
      </c>
      <c r="S129" t="s">
        <v>28</v>
      </c>
      <c r="T129">
        <f t="shared" si="7"/>
        <v>143.49</v>
      </c>
      <c r="U129">
        <f t="shared" si="8"/>
        <v>0</v>
      </c>
      <c r="V129">
        <f t="shared" si="9"/>
        <v>117.05</v>
      </c>
      <c r="W129">
        <f t="shared" si="10"/>
        <v>0</v>
      </c>
      <c r="X129">
        <f t="shared" si="11"/>
        <v>9</v>
      </c>
      <c r="Y129" cm="1">
        <f t="array" ref="Y129">_xlfn.IFS(H129=0.1,1,H129=0.15,1,H129=0.05,1,H129=0,0)</f>
        <v>0</v>
      </c>
      <c r="Z129">
        <f t="shared" si="12"/>
        <v>0</v>
      </c>
      <c r="AA129">
        <f t="shared" si="13"/>
        <v>2024</v>
      </c>
    </row>
    <row r="130" spans="1:27" x14ac:dyDescent="0.3">
      <c r="A130" s="2">
        <v>45530</v>
      </c>
      <c r="B130" t="s">
        <v>19</v>
      </c>
      <c r="C130" t="s">
        <v>132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313</v>
      </c>
      <c r="O130" t="s">
        <v>314</v>
      </c>
      <c r="P130">
        <v>21.77</v>
      </c>
      <c r="Q130" s="2">
        <v>45530</v>
      </c>
      <c r="R130" s="2">
        <v>45536</v>
      </c>
      <c r="S130" t="s">
        <v>28</v>
      </c>
      <c r="T130">
        <f t="shared" si="7"/>
        <v>8333.07</v>
      </c>
      <c r="U130">
        <f t="shared" si="8"/>
        <v>15</v>
      </c>
      <c r="V130">
        <f t="shared" si="9"/>
        <v>9778</v>
      </c>
      <c r="W130">
        <f t="shared" si="10"/>
        <v>1466.7000000000007</v>
      </c>
      <c r="X130">
        <f t="shared" si="11"/>
        <v>6</v>
      </c>
      <c r="Y130" cm="1">
        <f t="array" ref="Y130">_xlfn.IFS(H130=0.1,1,H130=0.15,1,H130=0.05,1,H130=0,0)</f>
        <v>1</v>
      </c>
      <c r="Z130">
        <f t="shared" si="12"/>
        <v>20</v>
      </c>
      <c r="AA130">
        <f t="shared" si="13"/>
        <v>2024</v>
      </c>
    </row>
    <row r="131" spans="1:27" x14ac:dyDescent="0.3">
      <c r="A131" s="2">
        <v>45816</v>
      </c>
      <c r="B131" t="s">
        <v>71</v>
      </c>
      <c r="C131" t="s">
        <v>81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315</v>
      </c>
      <c r="O131" t="s">
        <v>316</v>
      </c>
      <c r="P131">
        <v>46.97</v>
      </c>
      <c r="Q131" s="2">
        <v>45816</v>
      </c>
      <c r="R131" s="2">
        <v>45823</v>
      </c>
      <c r="S131" t="s">
        <v>74</v>
      </c>
      <c r="T131">
        <f t="shared" ref="T131:T194" si="14">SUM(J131:P131)</f>
        <v>3056.4939999999997</v>
      </c>
      <c r="U131">
        <f t="shared" ref="U131:U194" si="15">PRODUCT(100,H131)</f>
        <v>5</v>
      </c>
      <c r="V131">
        <f t="shared" ref="V131:V194" si="16">PRODUCT(D131:E131)</f>
        <v>3167.92</v>
      </c>
      <c r="W131">
        <f t="shared" ref="W131:W194" si="17" xml:space="preserve"> V131-J131</f>
        <v>158.39600000000019</v>
      </c>
      <c r="X131">
        <f t="shared" ref="X131:X194" si="18">R131-Q131</f>
        <v>7</v>
      </c>
      <c r="Y131" cm="1">
        <f t="array" ref="Y131">_xlfn.IFS(H131=0.1,1,H131=0.15,1,H131=0.05,1,H131=0,0)</f>
        <v>1</v>
      </c>
      <c r="Z131">
        <f t="shared" ref="Z131:Z194" si="19">PRODUCT(Y131,D131)</f>
        <v>7</v>
      </c>
      <c r="AA131">
        <f t="shared" ref="AA131:AA194" si="20">YEAR(A131)</f>
        <v>2025</v>
      </c>
    </row>
    <row r="132" spans="1:27" x14ac:dyDescent="0.3">
      <c r="A132" s="2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62</v>
      </c>
      <c r="L132" t="s">
        <v>59</v>
      </c>
      <c r="M132">
        <v>1</v>
      </c>
      <c r="N132" t="s">
        <v>317</v>
      </c>
      <c r="O132" t="s">
        <v>318</v>
      </c>
      <c r="P132">
        <v>17.59</v>
      </c>
      <c r="Q132" s="2">
        <v>45793</v>
      </c>
      <c r="R132" s="2">
        <v>45800</v>
      </c>
      <c r="S132" t="s">
        <v>44</v>
      </c>
      <c r="T132">
        <f t="shared" si="14"/>
        <v>5136.2300000000005</v>
      </c>
      <c r="U132">
        <f t="shared" si="15"/>
        <v>0</v>
      </c>
      <c r="V132">
        <f t="shared" si="16"/>
        <v>5117.6400000000003</v>
      </c>
      <c r="W132">
        <f t="shared" si="17"/>
        <v>0</v>
      </c>
      <c r="X132">
        <f t="shared" si="18"/>
        <v>7</v>
      </c>
      <c r="Y132" cm="1">
        <f t="array" ref="Y132">_xlfn.IFS(H132=0.1,1,H132=0.15,1,H132=0.05,1,H132=0,0)</f>
        <v>0</v>
      </c>
      <c r="Z132">
        <f t="shared" si="19"/>
        <v>0</v>
      </c>
      <c r="AA132">
        <f t="shared" si="20"/>
        <v>2025</v>
      </c>
    </row>
    <row r="133" spans="1:27" x14ac:dyDescent="0.3">
      <c r="A133" s="2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6197.0999999999995</v>
      </c>
      <c r="K133" t="s">
        <v>34</v>
      </c>
      <c r="L133" t="s">
        <v>35</v>
      </c>
      <c r="M133">
        <v>0</v>
      </c>
      <c r="N133" t="s">
        <v>319</v>
      </c>
      <c r="O133" t="s">
        <v>320</v>
      </c>
      <c r="P133">
        <v>28.76</v>
      </c>
      <c r="Q133" s="2">
        <v>45491</v>
      </c>
      <c r="R133" s="2">
        <v>45497</v>
      </c>
      <c r="S133" t="s">
        <v>28</v>
      </c>
      <c r="T133">
        <f t="shared" si="14"/>
        <v>6225.86</v>
      </c>
      <c r="U133">
        <f t="shared" si="15"/>
        <v>0</v>
      </c>
      <c r="V133">
        <f t="shared" si="16"/>
        <v>6197.0999999999995</v>
      </c>
      <c r="W133">
        <f t="shared" si="17"/>
        <v>0</v>
      </c>
      <c r="X133">
        <f t="shared" si="18"/>
        <v>6</v>
      </c>
      <c r="Y133" cm="1">
        <f t="array" ref="Y133">_xlfn.IFS(H133=0.1,1,H133=0.15,1,H133=0.05,1,H133=0,0)</f>
        <v>0</v>
      </c>
      <c r="Z133">
        <f t="shared" si="19"/>
        <v>0</v>
      </c>
      <c r="AA133">
        <f t="shared" si="20"/>
        <v>2024</v>
      </c>
    </row>
    <row r="134" spans="1:27" x14ac:dyDescent="0.3">
      <c r="A134" s="2">
        <v>45186</v>
      </c>
      <c r="B134" t="s">
        <v>71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68</v>
      </c>
      <c r="J134">
        <v>5633.28</v>
      </c>
      <c r="K134" t="s">
        <v>24</v>
      </c>
      <c r="L134" t="s">
        <v>25</v>
      </c>
      <c r="M134">
        <v>0</v>
      </c>
      <c r="N134" t="s">
        <v>321</v>
      </c>
      <c r="O134" t="s">
        <v>322</v>
      </c>
      <c r="P134">
        <v>33.299999999999997</v>
      </c>
      <c r="Q134" s="2">
        <v>45186</v>
      </c>
      <c r="R134" s="2">
        <v>45195</v>
      </c>
      <c r="S134" t="s">
        <v>74</v>
      </c>
      <c r="T134">
        <f t="shared" si="14"/>
        <v>5666.58</v>
      </c>
      <c r="U134">
        <f t="shared" si="15"/>
        <v>0</v>
      </c>
      <c r="V134">
        <f t="shared" si="16"/>
        <v>5633.28</v>
      </c>
      <c r="W134">
        <f t="shared" si="17"/>
        <v>0</v>
      </c>
      <c r="X134">
        <f t="shared" si="18"/>
        <v>9</v>
      </c>
      <c r="Y134" cm="1">
        <f t="array" ref="Y134">_xlfn.IFS(H134=0.1,1,H134=0.15,1,H134=0.05,1,H134=0,0)</f>
        <v>0</v>
      </c>
      <c r="Z134">
        <f t="shared" si="19"/>
        <v>0</v>
      </c>
      <c r="AA134">
        <f t="shared" si="20"/>
        <v>2023</v>
      </c>
    </row>
    <row r="135" spans="1:27" x14ac:dyDescent="0.3">
      <c r="A135" s="2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68</v>
      </c>
      <c r="J135">
        <v>3308.6410000000001</v>
      </c>
      <c r="K135" t="s">
        <v>62</v>
      </c>
      <c r="L135" t="s">
        <v>25</v>
      </c>
      <c r="M135">
        <v>1</v>
      </c>
      <c r="N135" t="s">
        <v>323</v>
      </c>
      <c r="O135" t="s">
        <v>324</v>
      </c>
      <c r="P135">
        <v>21.76</v>
      </c>
      <c r="Q135" s="2">
        <v>44998</v>
      </c>
      <c r="R135" s="2">
        <v>45004</v>
      </c>
      <c r="S135" t="s">
        <v>28</v>
      </c>
      <c r="T135">
        <f t="shared" si="14"/>
        <v>3331.4010000000003</v>
      </c>
      <c r="U135">
        <f t="shared" si="15"/>
        <v>5</v>
      </c>
      <c r="V135">
        <f t="shared" si="16"/>
        <v>3482.78</v>
      </c>
      <c r="W135">
        <f t="shared" si="17"/>
        <v>174.13900000000012</v>
      </c>
      <c r="X135">
        <f t="shared" si="18"/>
        <v>6</v>
      </c>
      <c r="Y135" cm="1">
        <f t="array" ref="Y135">_xlfn.IFS(H135=0.1,1,H135=0.15,1,H135=0.05,1,H135=0,0)</f>
        <v>1</v>
      </c>
      <c r="Z135">
        <f t="shared" si="19"/>
        <v>14</v>
      </c>
      <c r="AA135">
        <f t="shared" si="20"/>
        <v>2023</v>
      </c>
    </row>
    <row r="136" spans="1:27" x14ac:dyDescent="0.3">
      <c r="A136" s="2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65</v>
      </c>
      <c r="L136" t="s">
        <v>59</v>
      </c>
      <c r="M136">
        <v>0</v>
      </c>
      <c r="N136" t="s">
        <v>325</v>
      </c>
      <c r="O136" t="s">
        <v>326</v>
      </c>
      <c r="P136">
        <v>27.04</v>
      </c>
      <c r="Q136" s="2">
        <v>45014</v>
      </c>
      <c r="R136" s="2">
        <v>45019</v>
      </c>
      <c r="S136" t="s">
        <v>38</v>
      </c>
      <c r="T136">
        <f t="shared" si="14"/>
        <v>2175.1419999999998</v>
      </c>
      <c r="U136">
        <f t="shared" si="15"/>
        <v>5</v>
      </c>
      <c r="V136">
        <f t="shared" si="16"/>
        <v>2261.16</v>
      </c>
      <c r="W136">
        <f t="shared" si="17"/>
        <v>113.05799999999999</v>
      </c>
      <c r="X136">
        <f t="shared" si="18"/>
        <v>5</v>
      </c>
      <c r="Y136" cm="1">
        <f t="array" ref="Y136">_xlfn.IFS(H136=0.1,1,H136=0.15,1,H136=0.05,1,H136=0,0)</f>
        <v>1</v>
      </c>
      <c r="Z136">
        <f t="shared" si="19"/>
        <v>4</v>
      </c>
      <c r="AA136">
        <f t="shared" si="20"/>
        <v>2023</v>
      </c>
    </row>
    <row r="137" spans="1:27" x14ac:dyDescent="0.3">
      <c r="A137" s="2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327</v>
      </c>
      <c r="O137" t="s">
        <v>328</v>
      </c>
      <c r="P137">
        <v>44.75</v>
      </c>
      <c r="Q137" s="2">
        <v>45121</v>
      </c>
      <c r="R137" s="2">
        <v>45130</v>
      </c>
      <c r="S137" t="s">
        <v>50</v>
      </c>
      <c r="T137">
        <f t="shared" si="14"/>
        <v>2835.47</v>
      </c>
      <c r="U137">
        <f t="shared" si="15"/>
        <v>5</v>
      </c>
      <c r="V137">
        <f t="shared" si="16"/>
        <v>2937.6000000000004</v>
      </c>
      <c r="W137">
        <f t="shared" si="17"/>
        <v>146.88000000000056</v>
      </c>
      <c r="X137">
        <f t="shared" si="18"/>
        <v>9</v>
      </c>
      <c r="Y137" cm="1">
        <f t="array" ref="Y137">_xlfn.IFS(H137=0.1,1,H137=0.15,1,H137=0.05,1,H137=0,0)</f>
        <v>1</v>
      </c>
      <c r="Z137">
        <f t="shared" si="19"/>
        <v>12</v>
      </c>
      <c r="AA137">
        <f t="shared" si="20"/>
        <v>2023</v>
      </c>
    </row>
    <row r="138" spans="1:27" x14ac:dyDescent="0.3">
      <c r="A138" s="2">
        <v>45373</v>
      </c>
      <c r="B138" t="s">
        <v>71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329</v>
      </c>
      <c r="O138" t="s">
        <v>330</v>
      </c>
      <c r="P138">
        <v>26.09</v>
      </c>
      <c r="Q138" s="2">
        <v>45373</v>
      </c>
      <c r="R138" s="2">
        <v>45382</v>
      </c>
      <c r="S138" t="s">
        <v>74</v>
      </c>
      <c r="T138">
        <f t="shared" si="14"/>
        <v>3619.0754999999999</v>
      </c>
      <c r="U138">
        <f t="shared" si="15"/>
        <v>5</v>
      </c>
      <c r="V138">
        <f t="shared" si="16"/>
        <v>3782.09</v>
      </c>
      <c r="W138">
        <f t="shared" si="17"/>
        <v>189.10450000000037</v>
      </c>
      <c r="X138">
        <f t="shared" si="18"/>
        <v>9</v>
      </c>
      <c r="Y138" cm="1">
        <f t="array" ref="Y138">_xlfn.IFS(H138=0.1,1,H138=0.15,1,H138=0.05,1,H138=0,0)</f>
        <v>1</v>
      </c>
      <c r="Z138">
        <f t="shared" si="19"/>
        <v>13</v>
      </c>
      <c r="AA138">
        <f t="shared" si="20"/>
        <v>2024</v>
      </c>
    </row>
    <row r="139" spans="1:27" x14ac:dyDescent="0.3">
      <c r="A139" s="2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68</v>
      </c>
      <c r="J139">
        <v>2271.951</v>
      </c>
      <c r="K139" t="s">
        <v>65</v>
      </c>
      <c r="L139" t="s">
        <v>59</v>
      </c>
      <c r="M139">
        <v>0</v>
      </c>
      <c r="N139" t="s">
        <v>331</v>
      </c>
      <c r="O139" t="s">
        <v>332</v>
      </c>
      <c r="P139">
        <v>35.39</v>
      </c>
      <c r="Q139" s="2">
        <v>45426</v>
      </c>
      <c r="R139" s="2">
        <v>45429</v>
      </c>
      <c r="S139" t="s">
        <v>50</v>
      </c>
      <c r="T139">
        <f t="shared" si="14"/>
        <v>2307.3409999999999</v>
      </c>
      <c r="U139">
        <f t="shared" si="15"/>
        <v>10</v>
      </c>
      <c r="V139">
        <f t="shared" si="16"/>
        <v>2524.3900000000003</v>
      </c>
      <c r="W139">
        <f t="shared" si="17"/>
        <v>252.43900000000031</v>
      </c>
      <c r="X139">
        <f t="shared" si="18"/>
        <v>3</v>
      </c>
      <c r="Y139" cm="1">
        <f t="array" ref="Y139">_xlfn.IFS(H139=0.1,1,H139=0.15,1,H139=0.05,1,H139=0,0)</f>
        <v>1</v>
      </c>
      <c r="Z139">
        <f t="shared" si="19"/>
        <v>11</v>
      </c>
      <c r="AA139">
        <f t="shared" si="20"/>
        <v>2024</v>
      </c>
    </row>
    <row r="140" spans="1:27" x14ac:dyDescent="0.3">
      <c r="A140" s="2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333</v>
      </c>
      <c r="O140" t="s">
        <v>334</v>
      </c>
      <c r="P140">
        <v>19.420000000000002</v>
      </c>
      <c r="Q140" s="2">
        <v>45076</v>
      </c>
      <c r="R140" s="2">
        <v>45079</v>
      </c>
      <c r="S140" t="s">
        <v>50</v>
      </c>
      <c r="T140">
        <f t="shared" si="14"/>
        <v>831.404</v>
      </c>
      <c r="U140">
        <f t="shared" si="15"/>
        <v>5</v>
      </c>
      <c r="V140">
        <f t="shared" si="16"/>
        <v>854.72</v>
      </c>
      <c r="W140">
        <f t="shared" si="17"/>
        <v>42.73599999999999</v>
      </c>
      <c r="X140">
        <f t="shared" si="18"/>
        <v>3</v>
      </c>
      <c r="Y140" cm="1">
        <f t="array" ref="Y140">_xlfn.IFS(H140=0.1,1,H140=0.15,1,H140=0.05,1,H140=0,0)</f>
        <v>1</v>
      </c>
      <c r="Z140">
        <f t="shared" si="19"/>
        <v>2</v>
      </c>
      <c r="AA140">
        <f t="shared" si="20"/>
        <v>2023</v>
      </c>
    </row>
    <row r="141" spans="1:27" x14ac:dyDescent="0.3">
      <c r="A141" s="2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65</v>
      </c>
      <c r="L141" t="s">
        <v>59</v>
      </c>
      <c r="M141">
        <v>0</v>
      </c>
      <c r="N141" t="s">
        <v>335</v>
      </c>
      <c r="O141" t="s">
        <v>336</v>
      </c>
      <c r="P141">
        <v>13.65</v>
      </c>
      <c r="Q141" s="2">
        <v>45004</v>
      </c>
      <c r="R141" s="2">
        <v>45007</v>
      </c>
      <c r="S141" t="s">
        <v>44</v>
      </c>
      <c r="T141">
        <f t="shared" si="14"/>
        <v>856.31899999999996</v>
      </c>
      <c r="U141">
        <f t="shared" si="15"/>
        <v>5</v>
      </c>
      <c r="V141">
        <f t="shared" si="16"/>
        <v>887.02</v>
      </c>
      <c r="W141">
        <f t="shared" si="17"/>
        <v>44.350999999999999</v>
      </c>
      <c r="X141">
        <f t="shared" si="18"/>
        <v>3</v>
      </c>
      <c r="Y141" cm="1">
        <f t="array" ref="Y141">_xlfn.IFS(H141=0.1,1,H141=0.15,1,H141=0.05,1,H141=0,0)</f>
        <v>1</v>
      </c>
      <c r="Z141">
        <f t="shared" si="19"/>
        <v>2</v>
      </c>
      <c r="AA141">
        <f t="shared" si="20"/>
        <v>2023</v>
      </c>
    </row>
    <row r="142" spans="1:27" x14ac:dyDescent="0.3">
      <c r="A142" s="2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337</v>
      </c>
      <c r="O142" t="s">
        <v>338</v>
      </c>
      <c r="P142">
        <v>10.14</v>
      </c>
      <c r="Q142" s="2">
        <v>45147</v>
      </c>
      <c r="R142" s="2">
        <v>45152</v>
      </c>
      <c r="S142" t="s">
        <v>50</v>
      </c>
      <c r="T142">
        <f t="shared" si="14"/>
        <v>3111.1014999999998</v>
      </c>
      <c r="U142">
        <f t="shared" si="15"/>
        <v>15</v>
      </c>
      <c r="V142">
        <f t="shared" si="16"/>
        <v>3648.19</v>
      </c>
      <c r="W142">
        <f t="shared" si="17"/>
        <v>547.22850000000017</v>
      </c>
      <c r="X142">
        <f t="shared" si="18"/>
        <v>5</v>
      </c>
      <c r="Y142" cm="1">
        <f t="array" ref="Y142">_xlfn.IFS(H142=0.1,1,H142=0.15,1,H142=0.05,1,H142=0,0)</f>
        <v>1</v>
      </c>
      <c r="Z142">
        <f t="shared" si="19"/>
        <v>13</v>
      </c>
      <c r="AA142">
        <f t="shared" si="20"/>
        <v>2023</v>
      </c>
    </row>
    <row r="143" spans="1:27" x14ac:dyDescent="0.3">
      <c r="A143" s="2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68</v>
      </c>
      <c r="J143">
        <v>4604.0929999999998</v>
      </c>
      <c r="K143" t="s">
        <v>58</v>
      </c>
      <c r="L143" t="s">
        <v>41</v>
      </c>
      <c r="M143">
        <v>0</v>
      </c>
      <c r="N143" t="s">
        <v>339</v>
      </c>
      <c r="O143" t="s">
        <v>340</v>
      </c>
      <c r="P143">
        <v>21.74</v>
      </c>
      <c r="Q143" s="2">
        <v>45578</v>
      </c>
      <c r="R143" s="2">
        <v>45585</v>
      </c>
      <c r="S143" t="s">
        <v>44</v>
      </c>
      <c r="T143">
        <f t="shared" si="14"/>
        <v>4625.8329999999996</v>
      </c>
      <c r="U143">
        <f t="shared" si="15"/>
        <v>15</v>
      </c>
      <c r="V143">
        <f t="shared" si="16"/>
        <v>5416.58</v>
      </c>
      <c r="W143">
        <f t="shared" si="17"/>
        <v>812.48700000000008</v>
      </c>
      <c r="X143">
        <f t="shared" si="18"/>
        <v>7</v>
      </c>
      <c r="Y143" cm="1">
        <f t="array" ref="Y143">_xlfn.IFS(H143=0.1,1,H143=0.15,1,H143=0.05,1,H143=0,0)</f>
        <v>1</v>
      </c>
      <c r="Z143">
        <f t="shared" si="19"/>
        <v>13</v>
      </c>
      <c r="AA143">
        <f t="shared" si="20"/>
        <v>2024</v>
      </c>
    </row>
    <row r="144" spans="1:27" x14ac:dyDescent="0.3">
      <c r="A144" s="2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6484.2800000000007</v>
      </c>
      <c r="K144" t="s">
        <v>24</v>
      </c>
      <c r="L144" t="s">
        <v>41</v>
      </c>
      <c r="M144">
        <v>0</v>
      </c>
      <c r="N144" t="s">
        <v>341</v>
      </c>
      <c r="O144" t="s">
        <v>342</v>
      </c>
      <c r="P144">
        <v>49.93</v>
      </c>
      <c r="Q144" s="2">
        <v>45705</v>
      </c>
      <c r="R144" s="2">
        <v>45713</v>
      </c>
      <c r="S144" t="s">
        <v>28</v>
      </c>
      <c r="T144">
        <f t="shared" si="14"/>
        <v>6534.2100000000009</v>
      </c>
      <c r="U144">
        <f t="shared" si="15"/>
        <v>0</v>
      </c>
      <c r="V144">
        <f t="shared" si="16"/>
        <v>6484.2800000000007</v>
      </c>
      <c r="W144">
        <f t="shared" si="17"/>
        <v>0</v>
      </c>
      <c r="X144">
        <f t="shared" si="18"/>
        <v>8</v>
      </c>
      <c r="Y144" cm="1">
        <f t="array" ref="Y144">_xlfn.IFS(H144=0.1,1,H144=0.15,1,H144=0.05,1,H144=0,0)</f>
        <v>0</v>
      </c>
      <c r="Z144">
        <f t="shared" si="19"/>
        <v>0</v>
      </c>
      <c r="AA144">
        <f t="shared" si="20"/>
        <v>2025</v>
      </c>
    </row>
    <row r="145" spans="1:27" x14ac:dyDescent="0.3">
      <c r="A145" s="2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62</v>
      </c>
      <c r="L145" t="s">
        <v>25</v>
      </c>
      <c r="M145">
        <v>1</v>
      </c>
      <c r="N145" t="s">
        <v>343</v>
      </c>
      <c r="O145" t="s">
        <v>344</v>
      </c>
      <c r="P145">
        <v>20.3</v>
      </c>
      <c r="Q145" s="2">
        <v>45819</v>
      </c>
      <c r="R145" s="2">
        <v>45828</v>
      </c>
      <c r="S145" t="s">
        <v>44</v>
      </c>
      <c r="T145">
        <f t="shared" si="14"/>
        <v>2359.7520000000004</v>
      </c>
      <c r="U145">
        <f t="shared" si="15"/>
        <v>15</v>
      </c>
      <c r="V145">
        <f t="shared" si="16"/>
        <v>2751.12</v>
      </c>
      <c r="W145">
        <f t="shared" si="17"/>
        <v>412.66799999999967</v>
      </c>
      <c r="X145">
        <f t="shared" si="18"/>
        <v>9</v>
      </c>
      <c r="Y145" cm="1">
        <f t="array" ref="Y145">_xlfn.IFS(H145=0.1,1,H145=0.15,1,H145=0.05,1,H145=0,0)</f>
        <v>1</v>
      </c>
      <c r="Z145">
        <f t="shared" si="19"/>
        <v>18</v>
      </c>
      <c r="AA145">
        <f t="shared" si="20"/>
        <v>2025</v>
      </c>
    </row>
    <row r="146" spans="1:27" x14ac:dyDescent="0.3">
      <c r="A146" s="2">
        <v>45411</v>
      </c>
      <c r="B146" t="s">
        <v>45</v>
      </c>
      <c r="C146" t="s">
        <v>81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68</v>
      </c>
      <c r="J146">
        <v>654.64</v>
      </c>
      <c r="K146" t="s">
        <v>34</v>
      </c>
      <c r="L146" t="s">
        <v>41</v>
      </c>
      <c r="M146">
        <v>1</v>
      </c>
      <c r="N146" t="s">
        <v>345</v>
      </c>
      <c r="O146" t="s">
        <v>346</v>
      </c>
      <c r="P146">
        <v>31.8</v>
      </c>
      <c r="Q146" s="2">
        <v>45411</v>
      </c>
      <c r="R146" s="2">
        <v>45413</v>
      </c>
      <c r="S146" t="s">
        <v>50</v>
      </c>
      <c r="T146">
        <f t="shared" si="14"/>
        <v>687.43999999999994</v>
      </c>
      <c r="U146">
        <f t="shared" si="15"/>
        <v>0</v>
      </c>
      <c r="V146">
        <f t="shared" si="16"/>
        <v>654.64</v>
      </c>
      <c r="W146">
        <f t="shared" si="17"/>
        <v>0</v>
      </c>
      <c r="X146">
        <f t="shared" si="18"/>
        <v>2</v>
      </c>
      <c r="Y146" cm="1">
        <f t="array" ref="Y146">_xlfn.IFS(H146=0.1,1,H146=0.15,1,H146=0.05,1,H146=0,0)</f>
        <v>0</v>
      </c>
      <c r="Z146">
        <f t="shared" si="19"/>
        <v>0</v>
      </c>
      <c r="AA146">
        <f t="shared" si="20"/>
        <v>2024</v>
      </c>
    </row>
    <row r="147" spans="1:27" x14ac:dyDescent="0.3">
      <c r="A147" s="2">
        <v>45003</v>
      </c>
      <c r="B147" t="s">
        <v>71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68</v>
      </c>
      <c r="J147">
        <v>7820.6374999999998</v>
      </c>
      <c r="K147" t="s">
        <v>62</v>
      </c>
      <c r="L147" t="s">
        <v>25</v>
      </c>
      <c r="M147">
        <v>1</v>
      </c>
      <c r="N147" t="s">
        <v>347</v>
      </c>
      <c r="O147" t="s">
        <v>348</v>
      </c>
      <c r="P147">
        <v>29.51</v>
      </c>
      <c r="Q147" s="2">
        <v>45003</v>
      </c>
      <c r="R147" s="2">
        <v>45005</v>
      </c>
      <c r="S147" t="s">
        <v>74</v>
      </c>
      <c r="T147">
        <f t="shared" si="14"/>
        <v>7851.1475</v>
      </c>
      <c r="U147">
        <f t="shared" si="15"/>
        <v>15</v>
      </c>
      <c r="V147">
        <f t="shared" si="16"/>
        <v>9200.75</v>
      </c>
      <c r="W147">
        <f t="shared" si="17"/>
        <v>1380.1125000000002</v>
      </c>
      <c r="X147">
        <f t="shared" si="18"/>
        <v>2</v>
      </c>
      <c r="Y147" cm="1">
        <f t="array" ref="Y147">_xlfn.IFS(H147=0.1,1,H147=0.15,1,H147=0.05,1,H147=0,0)</f>
        <v>1</v>
      </c>
      <c r="Z147">
        <f t="shared" si="19"/>
        <v>19</v>
      </c>
      <c r="AA147">
        <f t="shared" si="20"/>
        <v>2023</v>
      </c>
    </row>
    <row r="148" spans="1:27" x14ac:dyDescent="0.3">
      <c r="A148" s="2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L148" t="s">
        <v>59</v>
      </c>
      <c r="M148">
        <v>0</v>
      </c>
      <c r="N148" t="s">
        <v>349</v>
      </c>
      <c r="O148" t="s">
        <v>350</v>
      </c>
      <c r="P148">
        <v>31</v>
      </c>
      <c r="Q148" s="2">
        <v>45647</v>
      </c>
      <c r="R148" s="2">
        <v>45653</v>
      </c>
      <c r="S148" t="s">
        <v>44</v>
      </c>
      <c r="T148">
        <f t="shared" si="14"/>
        <v>3112.24</v>
      </c>
      <c r="U148">
        <f t="shared" si="15"/>
        <v>10</v>
      </c>
      <c r="V148">
        <f t="shared" si="16"/>
        <v>3423.6</v>
      </c>
      <c r="W148">
        <f t="shared" si="17"/>
        <v>342.36000000000013</v>
      </c>
      <c r="X148">
        <f t="shared" si="18"/>
        <v>6</v>
      </c>
      <c r="Y148" cm="1">
        <f t="array" ref="Y148">_xlfn.IFS(H148=0.1,1,H148=0.15,1,H148=0.05,1,H148=0,0)</f>
        <v>1</v>
      </c>
      <c r="Z148">
        <f t="shared" si="19"/>
        <v>9</v>
      </c>
      <c r="AA148">
        <f t="shared" si="20"/>
        <v>2024</v>
      </c>
    </row>
    <row r="149" spans="1:27" x14ac:dyDescent="0.3">
      <c r="A149" s="2">
        <v>45039</v>
      </c>
      <c r="B149" t="s">
        <v>71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351</v>
      </c>
      <c r="O149" t="s">
        <v>352</v>
      </c>
      <c r="P149">
        <v>33.81</v>
      </c>
      <c r="Q149" s="2">
        <v>45039</v>
      </c>
      <c r="R149" s="2">
        <v>45048</v>
      </c>
      <c r="S149" t="s">
        <v>74</v>
      </c>
      <c r="T149">
        <f t="shared" si="14"/>
        <v>5120.2240000000002</v>
      </c>
      <c r="U149">
        <f t="shared" si="15"/>
        <v>10</v>
      </c>
      <c r="V149">
        <f t="shared" si="16"/>
        <v>5650.46</v>
      </c>
      <c r="W149">
        <f t="shared" si="17"/>
        <v>565.04600000000028</v>
      </c>
      <c r="X149">
        <f t="shared" si="18"/>
        <v>9</v>
      </c>
      <c r="Y149" cm="1">
        <f t="array" ref="Y149">_xlfn.IFS(H149=0.1,1,H149=0.15,1,H149=0.05,1,H149=0,0)</f>
        <v>1</v>
      </c>
      <c r="Z149">
        <f t="shared" si="19"/>
        <v>17</v>
      </c>
      <c r="AA149">
        <f t="shared" si="20"/>
        <v>2023</v>
      </c>
    </row>
    <row r="150" spans="1:27" x14ac:dyDescent="0.3">
      <c r="A150" s="2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353</v>
      </c>
      <c r="O150" t="s">
        <v>354</v>
      </c>
      <c r="P150">
        <v>10.91</v>
      </c>
      <c r="Q150" s="2">
        <v>45788</v>
      </c>
      <c r="R150" s="2">
        <v>45798</v>
      </c>
      <c r="S150" t="s">
        <v>50</v>
      </c>
      <c r="T150">
        <f t="shared" si="14"/>
        <v>3016.8049999999998</v>
      </c>
      <c r="U150">
        <f t="shared" si="15"/>
        <v>5</v>
      </c>
      <c r="V150">
        <f t="shared" si="16"/>
        <v>3164.1</v>
      </c>
      <c r="W150">
        <f t="shared" si="17"/>
        <v>158.20499999999993</v>
      </c>
      <c r="X150">
        <f t="shared" si="18"/>
        <v>10</v>
      </c>
      <c r="Y150" cm="1">
        <f t="array" ref="Y150">_xlfn.IFS(H150=0.1,1,H150=0.15,1,H150=0.05,1,H150=0,0)</f>
        <v>1</v>
      </c>
      <c r="Z150">
        <f t="shared" si="19"/>
        <v>15</v>
      </c>
      <c r="AA150">
        <f t="shared" si="20"/>
        <v>2025</v>
      </c>
    </row>
    <row r="151" spans="1:27" x14ac:dyDescent="0.3">
      <c r="A151" s="2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65</v>
      </c>
      <c r="L151" t="s">
        <v>59</v>
      </c>
      <c r="M151">
        <v>0</v>
      </c>
      <c r="N151" t="s">
        <v>355</v>
      </c>
      <c r="O151" t="s">
        <v>356</v>
      </c>
      <c r="P151">
        <v>47.94</v>
      </c>
      <c r="Q151" s="2">
        <v>45354</v>
      </c>
      <c r="R151" s="2">
        <v>45356</v>
      </c>
      <c r="S151" t="s">
        <v>38</v>
      </c>
      <c r="T151">
        <f t="shared" si="14"/>
        <v>3493.14</v>
      </c>
      <c r="U151">
        <f t="shared" si="15"/>
        <v>0</v>
      </c>
      <c r="V151">
        <f t="shared" si="16"/>
        <v>3445.2000000000003</v>
      </c>
      <c r="W151">
        <f t="shared" si="17"/>
        <v>0</v>
      </c>
      <c r="X151">
        <f t="shared" si="18"/>
        <v>2</v>
      </c>
      <c r="Y151" cm="1">
        <f t="array" ref="Y151">_xlfn.IFS(H151=0.1,1,H151=0.15,1,H151=0.05,1,H151=0,0)</f>
        <v>0</v>
      </c>
      <c r="Z151">
        <f t="shared" si="19"/>
        <v>0</v>
      </c>
      <c r="AA151">
        <f t="shared" si="20"/>
        <v>2024</v>
      </c>
    </row>
    <row r="152" spans="1:27" x14ac:dyDescent="0.3">
      <c r="A152" s="2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985.03950000000009</v>
      </c>
      <c r="K152" t="s">
        <v>58</v>
      </c>
      <c r="L152" t="s">
        <v>25</v>
      </c>
      <c r="M152">
        <v>0</v>
      </c>
      <c r="N152" t="s">
        <v>357</v>
      </c>
      <c r="O152" t="s">
        <v>358</v>
      </c>
      <c r="P152">
        <v>32.450000000000003</v>
      </c>
      <c r="Q152" s="2">
        <v>45677</v>
      </c>
      <c r="R152" s="2">
        <v>45687</v>
      </c>
      <c r="S152" t="s">
        <v>44</v>
      </c>
      <c r="T152">
        <f t="shared" si="14"/>
        <v>1017.4895000000001</v>
      </c>
      <c r="U152">
        <f t="shared" si="15"/>
        <v>15</v>
      </c>
      <c r="V152">
        <f t="shared" si="16"/>
        <v>1158.8700000000001</v>
      </c>
      <c r="W152">
        <f t="shared" si="17"/>
        <v>173.83050000000003</v>
      </c>
      <c r="X152">
        <f t="shared" si="18"/>
        <v>10</v>
      </c>
      <c r="Y152" cm="1">
        <f t="array" ref="Y152">_xlfn.IFS(H152=0.1,1,H152=0.15,1,H152=0.05,1,H152=0,0)</f>
        <v>1</v>
      </c>
      <c r="Z152">
        <f t="shared" si="19"/>
        <v>3</v>
      </c>
      <c r="AA152">
        <f t="shared" si="20"/>
        <v>2025</v>
      </c>
    </row>
    <row r="153" spans="1:27" x14ac:dyDescent="0.3">
      <c r="A153" s="2">
        <v>45738</v>
      </c>
      <c r="B153" t="s">
        <v>39</v>
      </c>
      <c r="C153" t="s">
        <v>81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359</v>
      </c>
      <c r="O153" t="s">
        <v>360</v>
      </c>
      <c r="P153">
        <v>10.88</v>
      </c>
      <c r="Q153" s="2">
        <v>45738</v>
      </c>
      <c r="R153" s="2">
        <v>45746</v>
      </c>
      <c r="S153" t="s">
        <v>44</v>
      </c>
      <c r="T153">
        <f t="shared" si="14"/>
        <v>1141.8300000000002</v>
      </c>
      <c r="U153">
        <f t="shared" si="15"/>
        <v>0</v>
      </c>
      <c r="V153">
        <f t="shared" si="16"/>
        <v>1129.95</v>
      </c>
      <c r="W153">
        <f t="shared" si="17"/>
        <v>0</v>
      </c>
      <c r="X153">
        <f t="shared" si="18"/>
        <v>8</v>
      </c>
      <c r="Y153" cm="1">
        <f t="array" ref="Y153">_xlfn.IFS(H153=0.1,1,H153=0.15,1,H153=0.05,1,H153=0,0)</f>
        <v>0</v>
      </c>
      <c r="Z153">
        <f t="shared" si="19"/>
        <v>0</v>
      </c>
      <c r="AA153">
        <f t="shared" si="20"/>
        <v>2025</v>
      </c>
    </row>
    <row r="154" spans="1:27" x14ac:dyDescent="0.3">
      <c r="A154" s="2">
        <v>45744</v>
      </c>
      <c r="B154" t="s">
        <v>29</v>
      </c>
      <c r="C154" t="s">
        <v>132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361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  <c r="T154">
        <f t="shared" si="14"/>
        <v>5360.9100000000008</v>
      </c>
      <c r="U154">
        <f t="shared" si="15"/>
        <v>15</v>
      </c>
      <c r="V154">
        <f t="shared" si="16"/>
        <v>6251.2</v>
      </c>
      <c r="W154">
        <f t="shared" si="17"/>
        <v>937.67999999999938</v>
      </c>
      <c r="X154">
        <f t="shared" si="18"/>
        <v>2</v>
      </c>
      <c r="Y154" cm="1">
        <f t="array" ref="Y154">_xlfn.IFS(H154=0.1,1,H154=0.15,1,H154=0.05,1,H154=0,0)</f>
        <v>1</v>
      </c>
      <c r="Z154">
        <f t="shared" si="19"/>
        <v>20</v>
      </c>
      <c r="AA154">
        <f t="shared" si="20"/>
        <v>2025</v>
      </c>
    </row>
    <row r="155" spans="1:27" x14ac:dyDescent="0.3">
      <c r="A155" s="2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65</v>
      </c>
      <c r="L155" t="s">
        <v>25</v>
      </c>
      <c r="M155">
        <v>0</v>
      </c>
      <c r="N155" t="s">
        <v>362</v>
      </c>
      <c r="O155" t="s">
        <v>363</v>
      </c>
      <c r="P155">
        <v>17.61</v>
      </c>
      <c r="Q155" s="2">
        <v>45705</v>
      </c>
      <c r="R155" s="2">
        <v>45709</v>
      </c>
      <c r="S155" t="s">
        <v>44</v>
      </c>
      <c r="T155">
        <f t="shared" si="14"/>
        <v>5374.6695</v>
      </c>
      <c r="U155">
        <f t="shared" si="15"/>
        <v>5</v>
      </c>
      <c r="V155">
        <f t="shared" si="16"/>
        <v>5639.01</v>
      </c>
      <c r="W155">
        <f t="shared" si="17"/>
        <v>281.95049999999992</v>
      </c>
      <c r="X155">
        <f t="shared" si="18"/>
        <v>4</v>
      </c>
      <c r="Y155" cm="1">
        <f t="array" ref="Y155">_xlfn.IFS(H155=0.1,1,H155=0.15,1,H155=0.05,1,H155=0,0)</f>
        <v>1</v>
      </c>
      <c r="Z155">
        <f t="shared" si="19"/>
        <v>13</v>
      </c>
      <c r="AA155">
        <f t="shared" si="20"/>
        <v>2025</v>
      </c>
    </row>
    <row r="156" spans="1:27" x14ac:dyDescent="0.3">
      <c r="A156" s="2">
        <v>45604</v>
      </c>
      <c r="B156" t="s">
        <v>29</v>
      </c>
      <c r="C156" t="s">
        <v>81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364</v>
      </c>
      <c r="O156" t="s">
        <v>365</v>
      </c>
      <c r="P156">
        <v>26.32</v>
      </c>
      <c r="Q156" s="2">
        <v>45604</v>
      </c>
      <c r="R156" s="2">
        <v>45607</v>
      </c>
      <c r="S156" t="s">
        <v>38</v>
      </c>
      <c r="T156">
        <f t="shared" si="14"/>
        <v>3212.92</v>
      </c>
      <c r="U156">
        <f t="shared" si="15"/>
        <v>0</v>
      </c>
      <c r="V156">
        <f t="shared" si="16"/>
        <v>3186.6000000000004</v>
      </c>
      <c r="W156">
        <f t="shared" si="17"/>
        <v>0</v>
      </c>
      <c r="X156">
        <f t="shared" si="18"/>
        <v>3</v>
      </c>
      <c r="Y156" cm="1">
        <f t="array" ref="Y156">_xlfn.IFS(H156=0.1,1,H156=0.15,1,H156=0.05,1,H156=0,0)</f>
        <v>0</v>
      </c>
      <c r="Z156">
        <f t="shared" si="19"/>
        <v>0</v>
      </c>
      <c r="AA156">
        <f t="shared" si="20"/>
        <v>2024</v>
      </c>
    </row>
    <row r="157" spans="1:27" x14ac:dyDescent="0.3">
      <c r="A157" s="2">
        <v>45368</v>
      </c>
      <c r="B157" t="s">
        <v>29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68</v>
      </c>
      <c r="J157">
        <v>551.13299999999992</v>
      </c>
      <c r="K157" t="s">
        <v>58</v>
      </c>
      <c r="L157" t="s">
        <v>25</v>
      </c>
      <c r="M157">
        <v>0</v>
      </c>
      <c r="N157" t="s">
        <v>366</v>
      </c>
      <c r="O157" t="s">
        <v>367</v>
      </c>
      <c r="P157">
        <v>6.04</v>
      </c>
      <c r="Q157" s="2">
        <v>45368</v>
      </c>
      <c r="R157" s="2">
        <v>45372</v>
      </c>
      <c r="S157" t="s">
        <v>38</v>
      </c>
      <c r="T157">
        <f t="shared" si="14"/>
        <v>557.17299999999989</v>
      </c>
      <c r="U157">
        <f t="shared" si="15"/>
        <v>5</v>
      </c>
      <c r="V157">
        <f t="shared" si="16"/>
        <v>580.14</v>
      </c>
      <c r="W157">
        <f t="shared" si="17"/>
        <v>29.007000000000062</v>
      </c>
      <c r="X157">
        <f t="shared" si="18"/>
        <v>4</v>
      </c>
      <c r="Y157" cm="1">
        <f t="array" ref="Y157">_xlfn.IFS(H157=0.1,1,H157=0.15,1,H157=0.05,1,H157=0,0)</f>
        <v>1</v>
      </c>
      <c r="Z157">
        <f t="shared" si="19"/>
        <v>18</v>
      </c>
      <c r="AA157">
        <f t="shared" si="20"/>
        <v>2024</v>
      </c>
    </row>
    <row r="158" spans="1:27" x14ac:dyDescent="0.3">
      <c r="A158" s="2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68</v>
      </c>
      <c r="J158">
        <v>1424.979</v>
      </c>
      <c r="K158" t="s">
        <v>65</v>
      </c>
      <c r="L158" t="s">
        <v>25</v>
      </c>
      <c r="M158">
        <v>0</v>
      </c>
      <c r="N158" t="s">
        <v>368</v>
      </c>
      <c r="O158" t="s">
        <v>369</v>
      </c>
      <c r="P158">
        <v>48.66</v>
      </c>
      <c r="Q158" s="2">
        <v>45167</v>
      </c>
      <c r="R158" s="2">
        <v>45170</v>
      </c>
      <c r="S158" t="s">
        <v>38</v>
      </c>
      <c r="T158">
        <f t="shared" si="14"/>
        <v>1473.6390000000001</v>
      </c>
      <c r="U158">
        <f t="shared" si="15"/>
        <v>10</v>
      </c>
      <c r="V158">
        <f t="shared" si="16"/>
        <v>1583.31</v>
      </c>
      <c r="W158">
        <f t="shared" si="17"/>
        <v>158.3309999999999</v>
      </c>
      <c r="X158">
        <f t="shared" si="18"/>
        <v>3</v>
      </c>
      <c r="Y158" cm="1">
        <f t="array" ref="Y158">_xlfn.IFS(H158=0.1,1,H158=0.15,1,H158=0.05,1,H158=0,0)</f>
        <v>1</v>
      </c>
      <c r="Z158">
        <f t="shared" si="19"/>
        <v>3</v>
      </c>
      <c r="AA158">
        <f t="shared" si="20"/>
        <v>2023</v>
      </c>
    </row>
    <row r="159" spans="1:27" x14ac:dyDescent="0.3">
      <c r="A159" s="2">
        <v>45099</v>
      </c>
      <c r="B159" t="s">
        <v>29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65</v>
      </c>
      <c r="L159" t="s">
        <v>59</v>
      </c>
      <c r="M159">
        <v>0</v>
      </c>
      <c r="N159" t="s">
        <v>370</v>
      </c>
      <c r="O159" t="s">
        <v>371</v>
      </c>
      <c r="P159">
        <v>39.979999999999997</v>
      </c>
      <c r="Q159" s="2">
        <v>45099</v>
      </c>
      <c r="R159" s="2">
        <v>45107</v>
      </c>
      <c r="S159" t="s">
        <v>38</v>
      </c>
      <c r="T159">
        <f t="shared" si="14"/>
        <v>4115.24</v>
      </c>
      <c r="U159">
        <f t="shared" si="15"/>
        <v>0</v>
      </c>
      <c r="V159">
        <f t="shared" si="16"/>
        <v>4075.2599999999998</v>
      </c>
      <c r="W159">
        <f t="shared" si="17"/>
        <v>0</v>
      </c>
      <c r="X159">
        <f t="shared" si="18"/>
        <v>8</v>
      </c>
      <c r="Y159" cm="1">
        <f t="array" ref="Y159">_xlfn.IFS(H159=0.1,1,H159=0.15,1,H159=0.05,1,H159=0,0)</f>
        <v>0</v>
      </c>
      <c r="Z159">
        <f t="shared" si="19"/>
        <v>0</v>
      </c>
      <c r="AA159">
        <f t="shared" si="20"/>
        <v>2023</v>
      </c>
    </row>
    <row r="160" spans="1:27" x14ac:dyDescent="0.3">
      <c r="A160" s="2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372</v>
      </c>
      <c r="O160" t="s">
        <v>373</v>
      </c>
      <c r="P160">
        <v>31.65</v>
      </c>
      <c r="Q160" s="2">
        <v>45346</v>
      </c>
      <c r="R160" s="2">
        <v>45352</v>
      </c>
      <c r="S160" t="s">
        <v>38</v>
      </c>
      <c r="T160">
        <f t="shared" si="14"/>
        <v>2833.61</v>
      </c>
      <c r="U160">
        <f t="shared" si="15"/>
        <v>0</v>
      </c>
      <c r="V160">
        <f t="shared" si="16"/>
        <v>2800.96</v>
      </c>
      <c r="W160">
        <f t="shared" si="17"/>
        <v>0</v>
      </c>
      <c r="X160">
        <f t="shared" si="18"/>
        <v>6</v>
      </c>
      <c r="Y160" cm="1">
        <f t="array" ref="Y160">_xlfn.IFS(H160=0.1,1,H160=0.15,1,H160=0.05,1,H160=0,0)</f>
        <v>0</v>
      </c>
      <c r="Z160">
        <f t="shared" si="19"/>
        <v>0</v>
      </c>
      <c r="AA160">
        <f t="shared" si="20"/>
        <v>2024</v>
      </c>
    </row>
    <row r="161" spans="1:27" x14ac:dyDescent="0.3">
      <c r="A161" s="2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374</v>
      </c>
      <c r="O161" t="s">
        <v>375</v>
      </c>
      <c r="P161">
        <v>46.91</v>
      </c>
      <c r="Q161" s="2">
        <v>45392</v>
      </c>
      <c r="R161" s="2">
        <v>45397</v>
      </c>
      <c r="S161" t="s">
        <v>44</v>
      </c>
      <c r="T161">
        <f t="shared" si="14"/>
        <v>1901.88</v>
      </c>
      <c r="U161">
        <f t="shared" si="15"/>
        <v>5</v>
      </c>
      <c r="V161">
        <f t="shared" si="16"/>
        <v>1952.6</v>
      </c>
      <c r="W161">
        <f t="shared" si="17"/>
        <v>97.629999999999882</v>
      </c>
      <c r="X161">
        <f t="shared" si="18"/>
        <v>5</v>
      </c>
      <c r="Y161" cm="1">
        <f t="array" ref="Y161">_xlfn.IFS(H161=0.1,1,H161=0.15,1,H161=0.05,1,H161=0,0)</f>
        <v>1</v>
      </c>
      <c r="Z161">
        <f t="shared" si="19"/>
        <v>10</v>
      </c>
      <c r="AA161">
        <f t="shared" si="20"/>
        <v>2024</v>
      </c>
    </row>
    <row r="162" spans="1:27" x14ac:dyDescent="0.3">
      <c r="A162" s="2">
        <v>45060</v>
      </c>
      <c r="B162" t="s">
        <v>29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376</v>
      </c>
      <c r="O162" t="s">
        <v>377</v>
      </c>
      <c r="P162">
        <v>7.66</v>
      </c>
      <c r="Q162" s="2">
        <v>45060</v>
      </c>
      <c r="R162" s="2">
        <v>45065</v>
      </c>
      <c r="S162" t="s">
        <v>38</v>
      </c>
      <c r="T162">
        <f t="shared" si="14"/>
        <v>3791.96</v>
      </c>
      <c r="U162">
        <f t="shared" si="15"/>
        <v>0</v>
      </c>
      <c r="V162">
        <f t="shared" si="16"/>
        <v>3784.3</v>
      </c>
      <c r="W162">
        <f t="shared" si="17"/>
        <v>0</v>
      </c>
      <c r="X162">
        <f t="shared" si="18"/>
        <v>5</v>
      </c>
      <c r="Y162" cm="1">
        <f t="array" ref="Y162">_xlfn.IFS(H162=0.1,1,H162=0.15,1,H162=0.05,1,H162=0,0)</f>
        <v>0</v>
      </c>
      <c r="Z162">
        <f t="shared" si="19"/>
        <v>0</v>
      </c>
      <c r="AA162">
        <f t="shared" si="20"/>
        <v>2023</v>
      </c>
    </row>
    <row r="163" spans="1:27" x14ac:dyDescent="0.3">
      <c r="A163" s="2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378</v>
      </c>
      <c r="O163" t="s">
        <v>379</v>
      </c>
      <c r="P163">
        <v>11</v>
      </c>
      <c r="Q163" s="2">
        <v>44996</v>
      </c>
      <c r="R163" s="2">
        <v>45003</v>
      </c>
      <c r="S163" t="s">
        <v>38</v>
      </c>
      <c r="T163">
        <f t="shared" si="14"/>
        <v>489.99200000000002</v>
      </c>
      <c r="U163">
        <f t="shared" si="15"/>
        <v>15</v>
      </c>
      <c r="V163">
        <f t="shared" si="16"/>
        <v>563.52</v>
      </c>
      <c r="W163">
        <f t="shared" si="17"/>
        <v>84.527999999999963</v>
      </c>
      <c r="X163">
        <f t="shared" si="18"/>
        <v>7</v>
      </c>
      <c r="Y163" cm="1">
        <f t="array" ref="Y163">_xlfn.IFS(H163=0.1,1,H163=0.15,1,H163=0.05,1,H163=0,0)</f>
        <v>1</v>
      </c>
      <c r="Z163">
        <f t="shared" si="19"/>
        <v>6</v>
      </c>
      <c r="AA163">
        <f t="shared" si="20"/>
        <v>2023</v>
      </c>
    </row>
    <row r="164" spans="1:27" x14ac:dyDescent="0.3">
      <c r="A164" s="2">
        <v>45528</v>
      </c>
      <c r="B164" t="s">
        <v>45</v>
      </c>
      <c r="C164" t="s">
        <v>132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L164" t="s">
        <v>59</v>
      </c>
      <c r="M164">
        <v>1</v>
      </c>
      <c r="N164" t="s">
        <v>380</v>
      </c>
      <c r="O164" t="s">
        <v>381</v>
      </c>
      <c r="P164">
        <v>8.66</v>
      </c>
      <c r="Q164" s="2">
        <v>45528</v>
      </c>
      <c r="R164" s="2">
        <v>45530</v>
      </c>
      <c r="S164" t="s">
        <v>50</v>
      </c>
      <c r="T164">
        <f t="shared" si="14"/>
        <v>89.259999999999991</v>
      </c>
      <c r="U164">
        <f t="shared" si="15"/>
        <v>0</v>
      </c>
      <c r="V164">
        <f t="shared" si="16"/>
        <v>79.599999999999994</v>
      </c>
      <c r="W164">
        <f t="shared" si="17"/>
        <v>0</v>
      </c>
      <c r="X164">
        <f t="shared" si="18"/>
        <v>2</v>
      </c>
      <c r="Y164" cm="1">
        <f t="array" ref="Y164">_xlfn.IFS(H164=0.1,1,H164=0.15,1,H164=0.05,1,H164=0,0)</f>
        <v>0</v>
      </c>
      <c r="Z164">
        <f t="shared" si="19"/>
        <v>0</v>
      </c>
      <c r="AA164">
        <f t="shared" si="20"/>
        <v>2024</v>
      </c>
    </row>
    <row r="165" spans="1:27" x14ac:dyDescent="0.3">
      <c r="A165" s="2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68</v>
      </c>
      <c r="J165">
        <v>1634.992</v>
      </c>
      <c r="K165" t="s">
        <v>65</v>
      </c>
      <c r="L165" t="s">
        <v>35</v>
      </c>
      <c r="M165">
        <v>0</v>
      </c>
      <c r="N165" t="s">
        <v>382</v>
      </c>
      <c r="O165" t="s">
        <v>383</v>
      </c>
      <c r="P165">
        <v>8.42</v>
      </c>
      <c r="Q165" s="2">
        <v>45345</v>
      </c>
      <c r="R165" s="2">
        <v>45352</v>
      </c>
      <c r="S165" t="s">
        <v>38</v>
      </c>
      <c r="T165">
        <f t="shared" si="14"/>
        <v>1643.412</v>
      </c>
      <c r="U165">
        <f t="shared" si="15"/>
        <v>15</v>
      </c>
      <c r="V165">
        <f t="shared" si="16"/>
        <v>1923.52</v>
      </c>
      <c r="W165">
        <f t="shared" si="17"/>
        <v>288.52800000000002</v>
      </c>
      <c r="X165">
        <f t="shared" si="18"/>
        <v>7</v>
      </c>
      <c r="Y165" cm="1">
        <f t="array" ref="Y165">_xlfn.IFS(H165=0.1,1,H165=0.15,1,H165=0.05,1,H165=0,0)</f>
        <v>1</v>
      </c>
      <c r="Z165">
        <f t="shared" si="19"/>
        <v>16</v>
      </c>
      <c r="AA165">
        <f t="shared" si="20"/>
        <v>2024</v>
      </c>
    </row>
    <row r="166" spans="1:27" x14ac:dyDescent="0.3">
      <c r="A166" s="2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384</v>
      </c>
      <c r="O166" t="s">
        <v>385</v>
      </c>
      <c r="P166">
        <v>39.32</v>
      </c>
      <c r="Q166" s="2">
        <v>45321</v>
      </c>
      <c r="R166" s="2">
        <v>45328</v>
      </c>
      <c r="S166" t="s">
        <v>44</v>
      </c>
      <c r="T166">
        <f t="shared" si="14"/>
        <v>1280.78</v>
      </c>
      <c r="U166">
        <f t="shared" si="15"/>
        <v>5</v>
      </c>
      <c r="V166">
        <f t="shared" si="16"/>
        <v>1306.8</v>
      </c>
      <c r="W166">
        <f t="shared" si="17"/>
        <v>65.339999999999918</v>
      </c>
      <c r="X166">
        <f t="shared" si="18"/>
        <v>7</v>
      </c>
      <c r="Y166" cm="1">
        <f t="array" ref="Y166">_xlfn.IFS(H166=0.1,1,H166=0.15,1,H166=0.05,1,H166=0,0)</f>
        <v>1</v>
      </c>
      <c r="Z166">
        <f t="shared" si="19"/>
        <v>11</v>
      </c>
      <c r="AA166">
        <f t="shared" si="20"/>
        <v>2024</v>
      </c>
    </row>
    <row r="167" spans="1:27" x14ac:dyDescent="0.3">
      <c r="A167" s="2">
        <v>45314</v>
      </c>
      <c r="B167" t="s">
        <v>19</v>
      </c>
      <c r="C167" t="s">
        <v>81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832.05000000000007</v>
      </c>
      <c r="K167" t="s">
        <v>65</v>
      </c>
      <c r="L167" t="s">
        <v>41</v>
      </c>
      <c r="M167">
        <v>1</v>
      </c>
      <c r="N167" t="s">
        <v>386</v>
      </c>
      <c r="O167" t="s">
        <v>387</v>
      </c>
      <c r="P167">
        <v>42.61</v>
      </c>
      <c r="Q167" s="2">
        <v>45314</v>
      </c>
      <c r="R167" s="2">
        <v>45320</v>
      </c>
      <c r="S167" t="s">
        <v>28</v>
      </c>
      <c r="T167">
        <f t="shared" si="14"/>
        <v>875.66000000000008</v>
      </c>
      <c r="U167">
        <f t="shared" si="15"/>
        <v>10</v>
      </c>
      <c r="V167">
        <f t="shared" si="16"/>
        <v>924.5</v>
      </c>
      <c r="W167">
        <f t="shared" si="17"/>
        <v>92.449999999999932</v>
      </c>
      <c r="X167">
        <f t="shared" si="18"/>
        <v>6</v>
      </c>
      <c r="Y167" cm="1">
        <f t="array" ref="Y167">_xlfn.IFS(H167=0.1,1,H167=0.15,1,H167=0.05,1,H167=0,0)</f>
        <v>1</v>
      </c>
      <c r="Z167">
        <f t="shared" si="19"/>
        <v>10</v>
      </c>
      <c r="AA167">
        <f t="shared" si="20"/>
        <v>2024</v>
      </c>
    </row>
    <row r="168" spans="1:27" x14ac:dyDescent="0.3">
      <c r="A168" s="2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68</v>
      </c>
      <c r="J168">
        <v>8806.69</v>
      </c>
      <c r="K168" t="s">
        <v>65</v>
      </c>
      <c r="L168" t="s">
        <v>25</v>
      </c>
      <c r="M168">
        <v>0</v>
      </c>
      <c r="N168" t="s">
        <v>388</v>
      </c>
      <c r="O168" t="s">
        <v>389</v>
      </c>
      <c r="P168">
        <v>49.38</v>
      </c>
      <c r="Q168" s="2">
        <v>44931</v>
      </c>
      <c r="R168" s="2">
        <v>44934</v>
      </c>
      <c r="S168" t="s">
        <v>44</v>
      </c>
      <c r="T168">
        <f t="shared" si="14"/>
        <v>8856.07</v>
      </c>
      <c r="U168">
        <f t="shared" si="15"/>
        <v>0</v>
      </c>
      <c r="V168">
        <f t="shared" si="16"/>
        <v>8806.69</v>
      </c>
      <c r="W168">
        <f t="shared" si="17"/>
        <v>0</v>
      </c>
      <c r="X168">
        <f t="shared" si="18"/>
        <v>3</v>
      </c>
      <c r="Y168" cm="1">
        <f t="array" ref="Y168">_xlfn.IFS(H168=0.1,1,H168=0.15,1,H168=0.05,1,H168=0,0)</f>
        <v>0</v>
      </c>
      <c r="Z168">
        <f t="shared" si="19"/>
        <v>0</v>
      </c>
      <c r="AA168">
        <f t="shared" si="20"/>
        <v>2023</v>
      </c>
    </row>
    <row r="169" spans="1:27" x14ac:dyDescent="0.3">
      <c r="A169" s="2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68</v>
      </c>
      <c r="J169">
        <v>1893.2550000000001</v>
      </c>
      <c r="K169" t="s">
        <v>34</v>
      </c>
      <c r="L169" t="s">
        <v>59</v>
      </c>
      <c r="M169">
        <v>0</v>
      </c>
      <c r="N169" t="s">
        <v>390</v>
      </c>
      <c r="O169" t="s">
        <v>391</v>
      </c>
      <c r="P169">
        <v>5.36</v>
      </c>
      <c r="Q169" s="2">
        <v>45281</v>
      </c>
      <c r="R169" s="2">
        <v>45290</v>
      </c>
      <c r="S169" t="s">
        <v>44</v>
      </c>
      <c r="T169">
        <f t="shared" si="14"/>
        <v>1898.615</v>
      </c>
      <c r="U169">
        <f t="shared" si="15"/>
        <v>5</v>
      </c>
      <c r="V169">
        <f t="shared" si="16"/>
        <v>1992.8999999999999</v>
      </c>
      <c r="W169">
        <f t="shared" si="17"/>
        <v>99.644999999999754</v>
      </c>
      <c r="X169">
        <f t="shared" si="18"/>
        <v>9</v>
      </c>
      <c r="Y169" cm="1">
        <f t="array" ref="Y169">_xlfn.IFS(H169=0.1,1,H169=0.15,1,H169=0.05,1,H169=0,0)</f>
        <v>1</v>
      </c>
      <c r="Z169">
        <f t="shared" si="19"/>
        <v>7</v>
      </c>
      <c r="AA169">
        <f t="shared" si="20"/>
        <v>2023</v>
      </c>
    </row>
    <row r="170" spans="1:27" x14ac:dyDescent="0.3">
      <c r="A170" s="2">
        <v>45071</v>
      </c>
      <c r="B170" t="s">
        <v>71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62</v>
      </c>
      <c r="L170" t="s">
        <v>25</v>
      </c>
      <c r="M170">
        <v>0</v>
      </c>
      <c r="N170" t="s">
        <v>392</v>
      </c>
      <c r="O170" t="s">
        <v>393</v>
      </c>
      <c r="P170">
        <v>28.77</v>
      </c>
      <c r="Q170" s="2">
        <v>45071</v>
      </c>
      <c r="R170" s="2">
        <v>45079</v>
      </c>
      <c r="S170" t="s">
        <v>74</v>
      </c>
      <c r="T170">
        <f t="shared" si="14"/>
        <v>6550.52</v>
      </c>
      <c r="U170">
        <f t="shared" si="15"/>
        <v>5</v>
      </c>
      <c r="V170">
        <f t="shared" si="16"/>
        <v>6865</v>
      </c>
      <c r="W170">
        <f t="shared" si="17"/>
        <v>343.25</v>
      </c>
      <c r="X170">
        <f t="shared" si="18"/>
        <v>8</v>
      </c>
      <c r="Y170" cm="1">
        <f t="array" ref="Y170">_xlfn.IFS(H170=0.1,1,H170=0.15,1,H170=0.05,1,H170=0,0)</f>
        <v>1</v>
      </c>
      <c r="Z170">
        <f t="shared" si="19"/>
        <v>20</v>
      </c>
      <c r="AA170">
        <f t="shared" si="20"/>
        <v>2023</v>
      </c>
    </row>
    <row r="171" spans="1:27" x14ac:dyDescent="0.3">
      <c r="A171" s="2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485.72399999999988</v>
      </c>
      <c r="K171" t="s">
        <v>34</v>
      </c>
      <c r="L171" t="s">
        <v>25</v>
      </c>
      <c r="M171">
        <v>0</v>
      </c>
      <c r="N171" t="s">
        <v>394</v>
      </c>
      <c r="O171" t="s">
        <v>395</v>
      </c>
      <c r="P171">
        <v>18.72</v>
      </c>
      <c r="Q171" s="2">
        <v>45838</v>
      </c>
      <c r="R171" s="2">
        <v>45846</v>
      </c>
      <c r="S171" t="s">
        <v>50</v>
      </c>
      <c r="T171">
        <f t="shared" si="14"/>
        <v>504.44399999999985</v>
      </c>
      <c r="U171">
        <f t="shared" si="15"/>
        <v>15</v>
      </c>
      <c r="V171">
        <f t="shared" si="16"/>
        <v>571.43999999999994</v>
      </c>
      <c r="W171">
        <f t="shared" si="17"/>
        <v>85.716000000000065</v>
      </c>
      <c r="X171">
        <f t="shared" si="18"/>
        <v>8</v>
      </c>
      <c r="Y171" cm="1">
        <f t="array" ref="Y171">_xlfn.IFS(H171=0.1,1,H171=0.15,1,H171=0.05,1,H171=0,0)</f>
        <v>1</v>
      </c>
      <c r="Z171">
        <f t="shared" si="19"/>
        <v>6</v>
      </c>
      <c r="AA171">
        <f t="shared" si="20"/>
        <v>2025</v>
      </c>
    </row>
    <row r="172" spans="1:27" x14ac:dyDescent="0.3">
      <c r="A172" s="2">
        <v>45700</v>
      </c>
      <c r="B172" t="s">
        <v>71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396</v>
      </c>
      <c r="O172" t="s">
        <v>397</v>
      </c>
      <c r="P172">
        <v>7.79</v>
      </c>
      <c r="Q172" s="2">
        <v>45700</v>
      </c>
      <c r="R172" s="2">
        <v>45707</v>
      </c>
      <c r="S172" t="s">
        <v>74</v>
      </c>
      <c r="T172">
        <f t="shared" si="14"/>
        <v>1302.07</v>
      </c>
      <c r="U172">
        <f t="shared" si="15"/>
        <v>5</v>
      </c>
      <c r="V172">
        <f t="shared" si="16"/>
        <v>1362.3999999999999</v>
      </c>
      <c r="W172">
        <f t="shared" si="17"/>
        <v>68.119999999999891</v>
      </c>
      <c r="X172">
        <f t="shared" si="18"/>
        <v>7</v>
      </c>
      <c r="Y172" cm="1">
        <f t="array" ref="Y172">_xlfn.IFS(H172=0.1,1,H172=0.15,1,H172=0.05,1,H172=0,0)</f>
        <v>1</v>
      </c>
      <c r="Z172">
        <f t="shared" si="19"/>
        <v>13</v>
      </c>
      <c r="AA172">
        <f t="shared" si="20"/>
        <v>2025</v>
      </c>
    </row>
    <row r="173" spans="1:27" x14ac:dyDescent="0.3">
      <c r="A173" s="2">
        <v>45294</v>
      </c>
      <c r="B173" t="s">
        <v>71</v>
      </c>
      <c r="C173" t="s">
        <v>81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65</v>
      </c>
      <c r="L173" t="s">
        <v>59</v>
      </c>
      <c r="M173">
        <v>1</v>
      </c>
      <c r="N173" t="s">
        <v>398</v>
      </c>
      <c r="O173" t="s">
        <v>399</v>
      </c>
      <c r="P173">
        <v>38.9</v>
      </c>
      <c r="Q173" s="2">
        <v>45294</v>
      </c>
      <c r="R173" s="2">
        <v>45298</v>
      </c>
      <c r="S173" t="s">
        <v>74</v>
      </c>
      <c r="T173">
        <f t="shared" si="14"/>
        <v>1814.4480000000001</v>
      </c>
      <c r="U173">
        <f t="shared" si="15"/>
        <v>10</v>
      </c>
      <c r="V173">
        <f t="shared" si="16"/>
        <v>1971.72</v>
      </c>
      <c r="W173">
        <f t="shared" si="17"/>
        <v>197.17200000000003</v>
      </c>
      <c r="X173">
        <f t="shared" si="18"/>
        <v>4</v>
      </c>
      <c r="Y173" cm="1">
        <f t="array" ref="Y173">_xlfn.IFS(H173=0.1,1,H173=0.15,1,H173=0.05,1,H173=0,0)</f>
        <v>1</v>
      </c>
      <c r="Z173">
        <f t="shared" si="19"/>
        <v>12</v>
      </c>
      <c r="AA173">
        <f t="shared" si="20"/>
        <v>2024</v>
      </c>
    </row>
    <row r="174" spans="1:27" x14ac:dyDescent="0.3">
      <c r="A174" s="2">
        <v>44960</v>
      </c>
      <c r="B174" t="s">
        <v>29</v>
      </c>
      <c r="C174" t="s">
        <v>81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65</v>
      </c>
      <c r="L174" t="s">
        <v>41</v>
      </c>
      <c r="M174">
        <v>0</v>
      </c>
      <c r="N174" t="s">
        <v>400</v>
      </c>
      <c r="O174" t="s">
        <v>401</v>
      </c>
      <c r="P174">
        <v>47.39</v>
      </c>
      <c r="Q174" s="2">
        <v>44960</v>
      </c>
      <c r="R174" s="2">
        <v>44970</v>
      </c>
      <c r="S174" t="s">
        <v>38</v>
      </c>
      <c r="T174">
        <f t="shared" si="14"/>
        <v>2974.0099999999998</v>
      </c>
      <c r="U174">
        <f t="shared" si="15"/>
        <v>10</v>
      </c>
      <c r="V174">
        <f t="shared" si="16"/>
        <v>3251.8</v>
      </c>
      <c r="W174">
        <f t="shared" si="17"/>
        <v>325.18000000000029</v>
      </c>
      <c r="X174">
        <f t="shared" si="18"/>
        <v>10</v>
      </c>
      <c r="Y174" cm="1">
        <f t="array" ref="Y174">_xlfn.IFS(H174=0.1,1,H174=0.15,1,H174=0.05,1,H174=0,0)</f>
        <v>1</v>
      </c>
      <c r="Z174">
        <f t="shared" si="19"/>
        <v>10</v>
      </c>
      <c r="AA174">
        <f t="shared" si="20"/>
        <v>2023</v>
      </c>
    </row>
    <row r="175" spans="1:27" x14ac:dyDescent="0.3">
      <c r="A175" s="2">
        <v>45352</v>
      </c>
      <c r="B175" t="s">
        <v>19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62</v>
      </c>
      <c r="L175" t="s">
        <v>41</v>
      </c>
      <c r="M175">
        <v>1</v>
      </c>
      <c r="N175" t="s">
        <v>402</v>
      </c>
      <c r="O175" t="s">
        <v>403</v>
      </c>
      <c r="P175">
        <v>7.13</v>
      </c>
      <c r="Q175" s="2">
        <v>45352</v>
      </c>
      <c r="R175" s="2">
        <v>45359</v>
      </c>
      <c r="S175" t="s">
        <v>28</v>
      </c>
      <c r="T175">
        <f t="shared" si="14"/>
        <v>9236.07</v>
      </c>
      <c r="U175">
        <f t="shared" si="15"/>
        <v>0</v>
      </c>
      <c r="V175">
        <f t="shared" si="16"/>
        <v>9227.94</v>
      </c>
      <c r="W175">
        <f t="shared" si="17"/>
        <v>0</v>
      </c>
      <c r="X175">
        <f t="shared" si="18"/>
        <v>7</v>
      </c>
      <c r="Y175" cm="1">
        <f t="array" ref="Y175">_xlfn.IFS(H175=0.1,1,H175=0.15,1,H175=0.05,1,H175=0,0)</f>
        <v>0</v>
      </c>
      <c r="Z175">
        <f t="shared" si="19"/>
        <v>0</v>
      </c>
      <c r="AA175">
        <f t="shared" si="20"/>
        <v>2024</v>
      </c>
    </row>
    <row r="176" spans="1:27" x14ac:dyDescent="0.3">
      <c r="A176" s="2">
        <v>45070</v>
      </c>
      <c r="B176" t="s">
        <v>39</v>
      </c>
      <c r="C176" t="s">
        <v>81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</v>
      </c>
      <c r="K176" t="s">
        <v>24</v>
      </c>
      <c r="L176" t="s">
        <v>59</v>
      </c>
      <c r="M176">
        <v>0</v>
      </c>
      <c r="N176" t="s">
        <v>404</v>
      </c>
      <c r="O176" t="s">
        <v>405</v>
      </c>
      <c r="P176">
        <v>5.7</v>
      </c>
      <c r="Q176" s="2">
        <v>45070</v>
      </c>
      <c r="R176" s="2">
        <v>45079</v>
      </c>
      <c r="S176" t="s">
        <v>44</v>
      </c>
      <c r="T176">
        <f t="shared" si="14"/>
        <v>2765.1839999999988</v>
      </c>
      <c r="U176">
        <f t="shared" si="15"/>
        <v>5</v>
      </c>
      <c r="V176">
        <f t="shared" si="16"/>
        <v>2904.72</v>
      </c>
      <c r="W176">
        <f t="shared" si="17"/>
        <v>145.23600000000079</v>
      </c>
      <c r="X176">
        <f t="shared" si="18"/>
        <v>9</v>
      </c>
      <c r="Y176" cm="1">
        <f t="array" ref="Y176">_xlfn.IFS(H176=0.1,1,H176=0.15,1,H176=0.05,1,H176=0,0)</f>
        <v>1</v>
      </c>
      <c r="Z176">
        <f t="shared" si="19"/>
        <v>14</v>
      </c>
      <c r="AA176">
        <f t="shared" si="20"/>
        <v>2023</v>
      </c>
    </row>
    <row r="177" spans="1:27" x14ac:dyDescent="0.3">
      <c r="A177" s="2">
        <v>45830</v>
      </c>
      <c r="B177" t="s">
        <v>39</v>
      </c>
      <c r="C177" t="s">
        <v>132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68</v>
      </c>
      <c r="J177">
        <v>8525.2619999999988</v>
      </c>
      <c r="K177" t="s">
        <v>65</v>
      </c>
      <c r="L177" t="s">
        <v>41</v>
      </c>
      <c r="M177">
        <v>0</v>
      </c>
      <c r="N177" t="s">
        <v>406</v>
      </c>
      <c r="O177" t="s">
        <v>407</v>
      </c>
      <c r="P177">
        <v>21.32</v>
      </c>
      <c r="Q177" s="2">
        <v>45830</v>
      </c>
      <c r="R177" s="2">
        <v>45836</v>
      </c>
      <c r="S177" t="s">
        <v>44</v>
      </c>
      <c r="T177">
        <f t="shared" si="14"/>
        <v>8546.5819999999985</v>
      </c>
      <c r="U177">
        <f t="shared" si="15"/>
        <v>5</v>
      </c>
      <c r="V177">
        <f t="shared" si="16"/>
        <v>8973.9599999999991</v>
      </c>
      <c r="W177">
        <f t="shared" si="17"/>
        <v>448.69800000000032</v>
      </c>
      <c r="X177">
        <f t="shared" si="18"/>
        <v>6</v>
      </c>
      <c r="Y177" cm="1">
        <f t="array" ref="Y177">_xlfn.IFS(H177=0.1,1,H177=0.15,1,H177=0.05,1,H177=0,0)</f>
        <v>1</v>
      </c>
      <c r="Z177">
        <f t="shared" si="19"/>
        <v>17</v>
      </c>
      <c r="AA177">
        <f t="shared" si="20"/>
        <v>2025</v>
      </c>
    </row>
    <row r="178" spans="1:27" x14ac:dyDescent="0.3">
      <c r="A178" s="2">
        <v>45026</v>
      </c>
      <c r="B178" t="s">
        <v>39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744.14449999999988</v>
      </c>
      <c r="K178" t="s">
        <v>24</v>
      </c>
      <c r="L178" t="s">
        <v>59</v>
      </c>
      <c r="M178">
        <v>1</v>
      </c>
      <c r="N178" t="s">
        <v>408</v>
      </c>
      <c r="O178" t="s">
        <v>409</v>
      </c>
      <c r="P178">
        <v>44.2</v>
      </c>
      <c r="Q178" s="2">
        <v>45026</v>
      </c>
      <c r="R178" s="2">
        <v>45030</v>
      </c>
      <c r="S178" t="s">
        <v>44</v>
      </c>
      <c r="T178">
        <f t="shared" si="14"/>
        <v>789.34449999999993</v>
      </c>
      <c r="U178">
        <f t="shared" si="15"/>
        <v>5</v>
      </c>
      <c r="V178">
        <f t="shared" si="16"/>
        <v>783.31</v>
      </c>
      <c r="W178">
        <f t="shared" si="17"/>
        <v>39.165500000000065</v>
      </c>
      <c r="X178">
        <f t="shared" si="18"/>
        <v>4</v>
      </c>
      <c r="Y178" cm="1">
        <f t="array" ref="Y178">_xlfn.IFS(H178=0.1,1,H178=0.15,1,H178=0.05,1,H178=0,0)</f>
        <v>1</v>
      </c>
      <c r="Z178">
        <f t="shared" si="19"/>
        <v>11</v>
      </c>
      <c r="AA178">
        <f t="shared" si="20"/>
        <v>2023</v>
      </c>
    </row>
    <row r="179" spans="1:27" x14ac:dyDescent="0.3">
      <c r="A179" s="2">
        <v>45720</v>
      </c>
      <c r="B179" t="s">
        <v>45</v>
      </c>
      <c r="C179" t="s">
        <v>132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62</v>
      </c>
      <c r="L179" t="s">
        <v>25</v>
      </c>
      <c r="M179">
        <v>0</v>
      </c>
      <c r="N179" t="s">
        <v>410</v>
      </c>
      <c r="O179" t="s">
        <v>411</v>
      </c>
      <c r="P179">
        <v>10.68</v>
      </c>
      <c r="Q179" s="2">
        <v>45720</v>
      </c>
      <c r="R179" s="2">
        <v>45726</v>
      </c>
      <c r="S179" t="s">
        <v>50</v>
      </c>
      <c r="T179">
        <f t="shared" si="14"/>
        <v>3899.24</v>
      </c>
      <c r="U179">
        <f t="shared" si="15"/>
        <v>0</v>
      </c>
      <c r="V179">
        <f t="shared" si="16"/>
        <v>3888.56</v>
      </c>
      <c r="W179">
        <f t="shared" si="17"/>
        <v>0</v>
      </c>
      <c r="X179">
        <f t="shared" si="18"/>
        <v>6</v>
      </c>
      <c r="Y179" cm="1">
        <f t="array" ref="Y179">_xlfn.IFS(H179=0.1,1,H179=0.15,1,H179=0.05,1,H179=0,0)</f>
        <v>0</v>
      </c>
      <c r="Z179">
        <f t="shared" si="19"/>
        <v>0</v>
      </c>
      <c r="AA179">
        <f t="shared" si="20"/>
        <v>2025</v>
      </c>
    </row>
    <row r="180" spans="1:27" x14ac:dyDescent="0.3">
      <c r="A180" s="2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L180" t="s">
        <v>59</v>
      </c>
      <c r="M180">
        <v>1</v>
      </c>
      <c r="N180" t="s">
        <v>412</v>
      </c>
      <c r="O180" t="s">
        <v>413</v>
      </c>
      <c r="P180">
        <v>23.69</v>
      </c>
      <c r="Q180" s="2">
        <v>45484</v>
      </c>
      <c r="R180" s="2">
        <v>45493</v>
      </c>
      <c r="S180" t="s">
        <v>28</v>
      </c>
      <c r="T180">
        <f t="shared" si="14"/>
        <v>3021.8519999999999</v>
      </c>
      <c r="U180">
        <f t="shared" si="15"/>
        <v>10</v>
      </c>
      <c r="V180">
        <f t="shared" si="16"/>
        <v>3330.18</v>
      </c>
      <c r="W180">
        <f t="shared" si="17"/>
        <v>333.01800000000003</v>
      </c>
      <c r="X180">
        <f t="shared" si="18"/>
        <v>9</v>
      </c>
      <c r="Y180" cm="1">
        <f t="array" ref="Y180">_xlfn.IFS(H180=0.1,1,H180=0.15,1,H180=0.05,1,H180=0,0)</f>
        <v>1</v>
      </c>
      <c r="Z180">
        <f t="shared" si="19"/>
        <v>6</v>
      </c>
      <c r="AA180">
        <f t="shared" si="20"/>
        <v>2024</v>
      </c>
    </row>
    <row r="181" spans="1:27" x14ac:dyDescent="0.3">
      <c r="A181" s="2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68</v>
      </c>
      <c r="J181">
        <v>5474.04</v>
      </c>
      <c r="K181" t="s">
        <v>65</v>
      </c>
      <c r="L181" t="s">
        <v>59</v>
      </c>
      <c r="M181">
        <v>0</v>
      </c>
      <c r="N181" t="s">
        <v>414</v>
      </c>
      <c r="O181" t="s">
        <v>415</v>
      </c>
      <c r="P181">
        <v>24.51</v>
      </c>
      <c r="Q181" s="2">
        <v>45521</v>
      </c>
      <c r="R181" s="2">
        <v>45524</v>
      </c>
      <c r="S181" t="s">
        <v>28</v>
      </c>
      <c r="T181">
        <f t="shared" si="14"/>
        <v>5498.55</v>
      </c>
      <c r="U181">
        <f t="shared" si="15"/>
        <v>0</v>
      </c>
      <c r="V181">
        <f t="shared" si="16"/>
        <v>5474.04</v>
      </c>
      <c r="W181">
        <f t="shared" si="17"/>
        <v>0</v>
      </c>
      <c r="X181">
        <f t="shared" si="18"/>
        <v>3</v>
      </c>
      <c r="Y181" cm="1">
        <f t="array" ref="Y181">_xlfn.IFS(H181=0.1,1,H181=0.15,1,H181=0.05,1,H181=0,0)</f>
        <v>0</v>
      </c>
      <c r="Z181">
        <f t="shared" si="19"/>
        <v>0</v>
      </c>
      <c r="AA181">
        <f t="shared" si="20"/>
        <v>2024</v>
      </c>
    </row>
    <row r="182" spans="1:27" x14ac:dyDescent="0.3">
      <c r="A182" s="2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65</v>
      </c>
      <c r="L182" t="s">
        <v>41</v>
      </c>
      <c r="M182">
        <v>0</v>
      </c>
      <c r="N182" t="s">
        <v>416</v>
      </c>
      <c r="O182" t="s">
        <v>417</v>
      </c>
      <c r="P182">
        <v>41.88</v>
      </c>
      <c r="Q182" s="2">
        <v>45838</v>
      </c>
      <c r="R182" s="2">
        <v>45847</v>
      </c>
      <c r="S182" t="s">
        <v>44</v>
      </c>
      <c r="T182">
        <f t="shared" si="14"/>
        <v>1138.7280000000001</v>
      </c>
      <c r="U182">
        <f t="shared" si="15"/>
        <v>10</v>
      </c>
      <c r="V182">
        <f t="shared" si="16"/>
        <v>1218.72</v>
      </c>
      <c r="W182">
        <f t="shared" si="17"/>
        <v>121.87200000000007</v>
      </c>
      <c r="X182">
        <f t="shared" si="18"/>
        <v>9</v>
      </c>
      <c r="Y182" cm="1">
        <f t="array" ref="Y182">_xlfn.IFS(H182=0.1,1,H182=0.15,1,H182=0.05,1,H182=0,0)</f>
        <v>1</v>
      </c>
      <c r="Z182">
        <f t="shared" si="19"/>
        <v>16</v>
      </c>
      <c r="AA182">
        <f t="shared" si="20"/>
        <v>2025</v>
      </c>
    </row>
    <row r="183" spans="1:27" x14ac:dyDescent="0.3">
      <c r="A183" s="2">
        <v>45602</v>
      </c>
      <c r="B183" t="s">
        <v>29</v>
      </c>
      <c r="C183" t="s">
        <v>132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68</v>
      </c>
      <c r="J183">
        <v>1359.585</v>
      </c>
      <c r="K183" t="s">
        <v>58</v>
      </c>
      <c r="L183" t="s">
        <v>41</v>
      </c>
      <c r="M183">
        <v>0</v>
      </c>
      <c r="N183" t="s">
        <v>418</v>
      </c>
      <c r="O183" t="s">
        <v>419</v>
      </c>
      <c r="P183">
        <v>37.49</v>
      </c>
      <c r="Q183" s="2">
        <v>45602</v>
      </c>
      <c r="R183" s="2">
        <v>45609</v>
      </c>
      <c r="S183" t="s">
        <v>38</v>
      </c>
      <c r="T183">
        <f t="shared" si="14"/>
        <v>1397.075</v>
      </c>
      <c r="U183">
        <f t="shared" si="15"/>
        <v>10</v>
      </c>
      <c r="V183">
        <f t="shared" si="16"/>
        <v>1510.65</v>
      </c>
      <c r="W183">
        <f t="shared" si="17"/>
        <v>151.06500000000005</v>
      </c>
      <c r="X183">
        <f t="shared" si="18"/>
        <v>7</v>
      </c>
      <c r="Y183" cm="1">
        <f t="array" ref="Y183">_xlfn.IFS(H183=0.1,1,H183=0.15,1,H183=0.05,1,H183=0,0)</f>
        <v>1</v>
      </c>
      <c r="Z183">
        <f t="shared" si="19"/>
        <v>3</v>
      </c>
      <c r="AA183">
        <f t="shared" si="20"/>
        <v>2024</v>
      </c>
    </row>
    <row r="184" spans="1:27" x14ac:dyDescent="0.3">
      <c r="A184" s="2">
        <v>45748</v>
      </c>
      <c r="B184" t="s">
        <v>19</v>
      </c>
      <c r="C184" t="s">
        <v>81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420</v>
      </c>
      <c r="O184" t="s">
        <v>421</v>
      </c>
      <c r="P184">
        <v>29.56</v>
      </c>
      <c r="Q184" s="2">
        <v>45748</v>
      </c>
      <c r="R184" s="2">
        <v>45751</v>
      </c>
      <c r="S184" t="s">
        <v>28</v>
      </c>
      <c r="T184">
        <f t="shared" si="14"/>
        <v>188.36</v>
      </c>
      <c r="U184">
        <f t="shared" si="15"/>
        <v>0</v>
      </c>
      <c r="V184">
        <f t="shared" si="16"/>
        <v>157.79999999999998</v>
      </c>
      <c r="W184">
        <f t="shared" si="17"/>
        <v>0</v>
      </c>
      <c r="X184">
        <f t="shared" si="18"/>
        <v>3</v>
      </c>
      <c r="Y184" cm="1">
        <f t="array" ref="Y184">_xlfn.IFS(H184=0.1,1,H184=0.15,1,H184=0.05,1,H184=0,0)</f>
        <v>0</v>
      </c>
      <c r="Z184">
        <f t="shared" si="19"/>
        <v>0</v>
      </c>
      <c r="AA184">
        <f t="shared" si="20"/>
        <v>2025</v>
      </c>
    </row>
    <row r="185" spans="1:27" x14ac:dyDescent="0.3">
      <c r="A185" s="2">
        <v>45474</v>
      </c>
      <c r="B185" t="s">
        <v>71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65</v>
      </c>
      <c r="L185" t="s">
        <v>25</v>
      </c>
      <c r="M185">
        <v>0</v>
      </c>
      <c r="N185" t="s">
        <v>422</v>
      </c>
      <c r="O185" t="s">
        <v>423</v>
      </c>
      <c r="P185">
        <v>5.7</v>
      </c>
      <c r="Q185" s="2">
        <v>45474</v>
      </c>
      <c r="R185" s="2">
        <v>45479</v>
      </c>
      <c r="S185" t="s">
        <v>74</v>
      </c>
      <c r="T185">
        <f t="shared" si="14"/>
        <v>1114.0840000000001</v>
      </c>
      <c r="U185">
        <f t="shared" si="15"/>
        <v>5</v>
      </c>
      <c r="V185">
        <f t="shared" si="16"/>
        <v>1166.72</v>
      </c>
      <c r="W185">
        <f t="shared" si="17"/>
        <v>58.336000000000013</v>
      </c>
      <c r="X185">
        <f t="shared" si="18"/>
        <v>5</v>
      </c>
      <c r="Y185" cm="1">
        <f t="array" ref="Y185">_xlfn.IFS(H185=0.1,1,H185=0.15,1,H185=0.05,1,H185=0,0)</f>
        <v>1</v>
      </c>
      <c r="Z185">
        <f t="shared" si="19"/>
        <v>16</v>
      </c>
      <c r="AA185">
        <f t="shared" si="20"/>
        <v>2024</v>
      </c>
    </row>
    <row r="186" spans="1:27" x14ac:dyDescent="0.3">
      <c r="A186" s="2">
        <v>45269</v>
      </c>
      <c r="B186" t="s">
        <v>71</v>
      </c>
      <c r="C186" t="s">
        <v>132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68</v>
      </c>
      <c r="J186">
        <v>7215.0029999999997</v>
      </c>
      <c r="K186" t="s">
        <v>34</v>
      </c>
      <c r="L186" t="s">
        <v>41</v>
      </c>
      <c r="M186">
        <v>0</v>
      </c>
      <c r="N186" t="s">
        <v>424</v>
      </c>
      <c r="O186" t="s">
        <v>425</v>
      </c>
      <c r="P186">
        <v>23.42</v>
      </c>
      <c r="Q186" s="2">
        <v>45269</v>
      </c>
      <c r="R186" s="2">
        <v>45278</v>
      </c>
      <c r="S186" t="s">
        <v>74</v>
      </c>
      <c r="T186">
        <f t="shared" si="14"/>
        <v>7238.4229999999998</v>
      </c>
      <c r="U186">
        <f t="shared" si="15"/>
        <v>5</v>
      </c>
      <c r="V186">
        <f t="shared" si="16"/>
        <v>7594.74</v>
      </c>
      <c r="W186">
        <f t="shared" si="17"/>
        <v>379.73700000000008</v>
      </c>
      <c r="X186">
        <f t="shared" si="18"/>
        <v>9</v>
      </c>
      <c r="Y186" cm="1">
        <f t="array" ref="Y186">_xlfn.IFS(H186=0.1,1,H186=0.15,1,H186=0.05,1,H186=0,0)</f>
        <v>1</v>
      </c>
      <c r="Z186">
        <f t="shared" si="19"/>
        <v>18</v>
      </c>
      <c r="AA186">
        <f t="shared" si="20"/>
        <v>2023</v>
      </c>
    </row>
    <row r="187" spans="1:27" x14ac:dyDescent="0.3">
      <c r="A187" s="2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6458.5350000000008</v>
      </c>
      <c r="K187" t="s">
        <v>62</v>
      </c>
      <c r="L187" t="s">
        <v>25</v>
      </c>
      <c r="M187">
        <v>0</v>
      </c>
      <c r="N187" t="s">
        <v>426</v>
      </c>
      <c r="O187" t="s">
        <v>427</v>
      </c>
      <c r="P187">
        <v>35.630000000000003</v>
      </c>
      <c r="Q187" s="2">
        <v>45104</v>
      </c>
      <c r="R187" s="2">
        <v>45107</v>
      </c>
      <c r="S187" t="s">
        <v>44</v>
      </c>
      <c r="T187">
        <f t="shared" si="14"/>
        <v>6494.1650000000009</v>
      </c>
      <c r="U187">
        <f t="shared" si="15"/>
        <v>10</v>
      </c>
      <c r="V187">
        <f t="shared" si="16"/>
        <v>7176.1500000000005</v>
      </c>
      <c r="W187">
        <f t="shared" si="17"/>
        <v>717.61499999999978</v>
      </c>
      <c r="X187">
        <f t="shared" si="18"/>
        <v>3</v>
      </c>
      <c r="Y187" cm="1">
        <f t="array" ref="Y187">_xlfn.IFS(H187=0.1,1,H187=0.15,1,H187=0.05,1,H187=0,0)</f>
        <v>1</v>
      </c>
      <c r="Z187">
        <f t="shared" si="19"/>
        <v>15</v>
      </c>
      <c r="AA187">
        <f t="shared" si="20"/>
        <v>2023</v>
      </c>
    </row>
    <row r="188" spans="1:27" x14ac:dyDescent="0.3">
      <c r="A188" s="2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68</v>
      </c>
      <c r="J188">
        <v>4515.66</v>
      </c>
      <c r="K188" t="s">
        <v>24</v>
      </c>
      <c r="L188" t="s">
        <v>35</v>
      </c>
      <c r="M188">
        <v>1</v>
      </c>
      <c r="N188" t="s">
        <v>428</v>
      </c>
      <c r="O188" t="s">
        <v>429</v>
      </c>
      <c r="P188">
        <v>39.74</v>
      </c>
      <c r="Q188" s="2">
        <v>45121</v>
      </c>
      <c r="R188" s="2">
        <v>45124</v>
      </c>
      <c r="S188" t="s">
        <v>38</v>
      </c>
      <c r="T188">
        <f t="shared" si="14"/>
        <v>4556.3999999999996</v>
      </c>
      <c r="U188">
        <f t="shared" si="15"/>
        <v>0</v>
      </c>
      <c r="V188">
        <f t="shared" si="16"/>
        <v>4515.66</v>
      </c>
      <c r="W188">
        <f t="shared" si="17"/>
        <v>0</v>
      </c>
      <c r="X188">
        <f t="shared" si="18"/>
        <v>3</v>
      </c>
      <c r="Y188" cm="1">
        <f t="array" ref="Y188">_xlfn.IFS(H188=0.1,1,H188=0.15,1,H188=0.05,1,H188=0,0)</f>
        <v>0</v>
      </c>
      <c r="Z188">
        <f t="shared" si="19"/>
        <v>0</v>
      </c>
      <c r="AA188">
        <f t="shared" si="20"/>
        <v>2023</v>
      </c>
    </row>
    <row r="189" spans="1:27" x14ac:dyDescent="0.3">
      <c r="A189" s="2">
        <v>44965</v>
      </c>
      <c r="B189" t="s">
        <v>29</v>
      </c>
      <c r="C189" t="s">
        <v>81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430</v>
      </c>
      <c r="O189" t="s">
        <v>431</v>
      </c>
      <c r="P189">
        <v>13.63</v>
      </c>
      <c r="Q189" s="2">
        <v>44965</v>
      </c>
      <c r="R189" s="2">
        <v>44973</v>
      </c>
      <c r="S189" t="s">
        <v>38</v>
      </c>
      <c r="T189">
        <f t="shared" si="14"/>
        <v>1486.4335000000001</v>
      </c>
      <c r="U189">
        <f t="shared" si="15"/>
        <v>15</v>
      </c>
      <c r="V189">
        <f t="shared" si="16"/>
        <v>1732.71</v>
      </c>
      <c r="W189">
        <f t="shared" si="17"/>
        <v>259.90650000000005</v>
      </c>
      <c r="X189">
        <f t="shared" si="18"/>
        <v>8</v>
      </c>
      <c r="Y189" cm="1">
        <f t="array" ref="Y189">_xlfn.IFS(H189=0.1,1,H189=0.15,1,H189=0.05,1,H189=0,0)</f>
        <v>1</v>
      </c>
      <c r="Z189">
        <f t="shared" si="19"/>
        <v>7</v>
      </c>
      <c r="AA189">
        <f t="shared" si="20"/>
        <v>2023</v>
      </c>
    </row>
    <row r="190" spans="1:27" x14ac:dyDescent="0.3">
      <c r="A190" s="2">
        <v>45471</v>
      </c>
      <c r="B190" t="s">
        <v>71</v>
      </c>
      <c r="C190" t="s">
        <v>81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900.20099999999991</v>
      </c>
      <c r="K190" t="s">
        <v>62</v>
      </c>
      <c r="L190" t="s">
        <v>25</v>
      </c>
      <c r="M190">
        <v>1</v>
      </c>
      <c r="N190" t="s">
        <v>432</v>
      </c>
      <c r="O190" t="s">
        <v>433</v>
      </c>
      <c r="P190">
        <v>31.02</v>
      </c>
      <c r="Q190" s="2">
        <v>45471</v>
      </c>
      <c r="R190" s="2">
        <v>45480</v>
      </c>
      <c r="S190" t="s">
        <v>74</v>
      </c>
      <c r="T190">
        <f t="shared" si="14"/>
        <v>932.22099999999989</v>
      </c>
      <c r="U190">
        <f t="shared" si="15"/>
        <v>15</v>
      </c>
      <c r="V190">
        <f t="shared" si="16"/>
        <v>1059.06</v>
      </c>
      <c r="W190">
        <f t="shared" si="17"/>
        <v>158.85900000000004</v>
      </c>
      <c r="X190">
        <f t="shared" si="18"/>
        <v>9</v>
      </c>
      <c r="Y190" cm="1">
        <f t="array" ref="Y190">_xlfn.IFS(H190=0.1,1,H190=0.15,1,H190=0.05,1,H190=0,0)</f>
        <v>1</v>
      </c>
      <c r="Z190">
        <f t="shared" si="19"/>
        <v>6</v>
      </c>
      <c r="AA190">
        <f t="shared" si="20"/>
        <v>2024</v>
      </c>
    </row>
    <row r="191" spans="1:27" x14ac:dyDescent="0.3">
      <c r="A191" s="2">
        <v>45397</v>
      </c>
      <c r="B191" t="s">
        <v>71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68</v>
      </c>
      <c r="J191">
        <v>286.86</v>
      </c>
      <c r="K191" t="s">
        <v>58</v>
      </c>
      <c r="L191" t="s">
        <v>59</v>
      </c>
      <c r="M191">
        <v>0</v>
      </c>
      <c r="N191" t="s">
        <v>434</v>
      </c>
      <c r="O191" t="s">
        <v>435</v>
      </c>
      <c r="P191">
        <v>36.94</v>
      </c>
      <c r="Q191" s="2">
        <v>45397</v>
      </c>
      <c r="R191" s="2">
        <v>45404</v>
      </c>
      <c r="S191" t="s">
        <v>74</v>
      </c>
      <c r="T191">
        <f t="shared" si="14"/>
        <v>323.8</v>
      </c>
      <c r="U191">
        <f t="shared" si="15"/>
        <v>0</v>
      </c>
      <c r="V191">
        <f t="shared" si="16"/>
        <v>286.86</v>
      </c>
      <c r="W191">
        <f t="shared" si="17"/>
        <v>0</v>
      </c>
      <c r="X191">
        <f t="shared" si="18"/>
        <v>7</v>
      </c>
      <c r="Y191" cm="1">
        <f t="array" ref="Y191">_xlfn.IFS(H191=0.1,1,H191=0.15,1,H191=0.05,1,H191=0,0)</f>
        <v>0</v>
      </c>
      <c r="Z191">
        <f t="shared" si="19"/>
        <v>0</v>
      </c>
      <c r="AA191">
        <f t="shared" si="20"/>
        <v>2024</v>
      </c>
    </row>
    <row r="192" spans="1:27" x14ac:dyDescent="0.3">
      <c r="A192" s="2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65</v>
      </c>
      <c r="L192" t="s">
        <v>35</v>
      </c>
      <c r="M192">
        <v>0</v>
      </c>
      <c r="N192" t="s">
        <v>436</v>
      </c>
      <c r="O192" t="s">
        <v>437</v>
      </c>
      <c r="P192">
        <v>18.54</v>
      </c>
      <c r="Q192" s="2">
        <v>45257</v>
      </c>
      <c r="R192" s="2">
        <v>45266</v>
      </c>
      <c r="S192" t="s">
        <v>28</v>
      </c>
      <c r="T192">
        <f t="shared" si="14"/>
        <v>6157.44</v>
      </c>
      <c r="U192">
        <f t="shared" si="15"/>
        <v>5</v>
      </c>
      <c r="V192">
        <f t="shared" si="16"/>
        <v>6462</v>
      </c>
      <c r="W192">
        <f t="shared" si="17"/>
        <v>323.10000000000036</v>
      </c>
      <c r="X192">
        <f t="shared" si="18"/>
        <v>9</v>
      </c>
      <c r="Y192" cm="1">
        <f t="array" ref="Y192">_xlfn.IFS(H192=0.1,1,H192=0.15,1,H192=0.05,1,H192=0,0)</f>
        <v>1</v>
      </c>
      <c r="Z192">
        <f t="shared" si="19"/>
        <v>12</v>
      </c>
      <c r="AA192">
        <f t="shared" si="20"/>
        <v>2023</v>
      </c>
    </row>
    <row r="193" spans="1:27" x14ac:dyDescent="0.3">
      <c r="A193" s="2">
        <v>45743</v>
      </c>
      <c r="B193" t="s">
        <v>19</v>
      </c>
      <c r="C193" t="s">
        <v>132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62</v>
      </c>
      <c r="L193" t="s">
        <v>59</v>
      </c>
      <c r="M193">
        <v>0</v>
      </c>
      <c r="N193" t="s">
        <v>438</v>
      </c>
      <c r="O193" t="s">
        <v>439</v>
      </c>
      <c r="P193">
        <v>13.01</v>
      </c>
      <c r="Q193" s="2">
        <v>45743</v>
      </c>
      <c r="R193" s="2">
        <v>45745</v>
      </c>
      <c r="S193" t="s">
        <v>28</v>
      </c>
      <c r="T193">
        <f t="shared" si="14"/>
        <v>448.86</v>
      </c>
      <c r="U193">
        <f t="shared" si="15"/>
        <v>0</v>
      </c>
      <c r="V193">
        <f t="shared" si="16"/>
        <v>435.85</v>
      </c>
      <c r="W193">
        <f t="shared" si="17"/>
        <v>0</v>
      </c>
      <c r="X193">
        <f t="shared" si="18"/>
        <v>2</v>
      </c>
      <c r="Y193" cm="1">
        <f t="array" ref="Y193">_xlfn.IFS(H193=0.1,1,H193=0.15,1,H193=0.05,1,H193=0,0)</f>
        <v>0</v>
      </c>
      <c r="Z193">
        <f t="shared" si="19"/>
        <v>0</v>
      </c>
      <c r="AA193">
        <f t="shared" si="20"/>
        <v>2025</v>
      </c>
    </row>
    <row r="194" spans="1:27" x14ac:dyDescent="0.3">
      <c r="A194" s="2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440</v>
      </c>
      <c r="O194" t="s">
        <v>441</v>
      </c>
      <c r="P194">
        <v>27.65</v>
      </c>
      <c r="Q194" s="2">
        <v>45144</v>
      </c>
      <c r="R194" s="2">
        <v>45148</v>
      </c>
      <c r="S194" t="s">
        <v>38</v>
      </c>
      <c r="T194">
        <f t="shared" si="14"/>
        <v>3168.0660000000003</v>
      </c>
      <c r="U194">
        <f t="shared" si="15"/>
        <v>10</v>
      </c>
      <c r="V194">
        <f t="shared" si="16"/>
        <v>3488.24</v>
      </c>
      <c r="W194">
        <f t="shared" si="17"/>
        <v>348.82399999999961</v>
      </c>
      <c r="X194">
        <f t="shared" si="18"/>
        <v>4</v>
      </c>
      <c r="Y194" cm="1">
        <f t="array" ref="Y194">_xlfn.IFS(H194=0.1,1,H194=0.15,1,H194=0.05,1,H194=0,0)</f>
        <v>1</v>
      </c>
      <c r="Z194">
        <f t="shared" si="19"/>
        <v>7</v>
      </c>
      <c r="AA194">
        <f t="shared" si="20"/>
        <v>2023</v>
      </c>
    </row>
    <row r="195" spans="1:27" x14ac:dyDescent="0.3">
      <c r="A195" s="2">
        <v>45639</v>
      </c>
      <c r="B195" t="s">
        <v>29</v>
      </c>
      <c r="C195" t="s">
        <v>132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62</v>
      </c>
      <c r="L195" t="s">
        <v>25</v>
      </c>
      <c r="M195">
        <v>0</v>
      </c>
      <c r="N195" t="s">
        <v>442</v>
      </c>
      <c r="O195" t="s">
        <v>443</v>
      </c>
      <c r="P195">
        <v>7.02</v>
      </c>
      <c r="Q195" s="2">
        <v>45639</v>
      </c>
      <c r="R195" s="2">
        <v>45648</v>
      </c>
      <c r="S195" t="s">
        <v>38</v>
      </c>
      <c r="T195">
        <f t="shared" ref="T195:T258" si="21">SUM(J195:P195)</f>
        <v>735.55499999999995</v>
      </c>
      <c r="U195">
        <f t="shared" ref="U195:U258" si="22">PRODUCT(100,H195)</f>
        <v>15</v>
      </c>
      <c r="V195">
        <f t="shared" ref="V195:V258" si="23">PRODUCT(D195:E195)</f>
        <v>857.1</v>
      </c>
      <c r="W195">
        <f t="shared" ref="W195:W258" si="24" xml:space="preserve"> V195-J195</f>
        <v>128.56500000000005</v>
      </c>
      <c r="X195">
        <f t="shared" ref="X195:X258" si="25">R195-Q195</f>
        <v>9</v>
      </c>
      <c r="Y195" cm="1">
        <f t="array" ref="Y195">_xlfn.IFS(H195=0.1,1,H195=0.15,1,H195=0.05,1,H195=0,0)</f>
        <v>1</v>
      </c>
      <c r="Z195">
        <f t="shared" ref="Z195:Z258" si="26">PRODUCT(Y195,D195)</f>
        <v>15</v>
      </c>
      <c r="AA195">
        <f t="shared" ref="AA195:AA258" si="27">YEAR(A195)</f>
        <v>2024</v>
      </c>
    </row>
    <row r="196" spans="1:27" x14ac:dyDescent="0.3">
      <c r="A196" s="2">
        <v>45674</v>
      </c>
      <c r="B196" t="s">
        <v>45</v>
      </c>
      <c r="C196" t="s">
        <v>81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62</v>
      </c>
      <c r="L196" t="s">
        <v>35</v>
      </c>
      <c r="M196">
        <v>0</v>
      </c>
      <c r="N196" t="s">
        <v>444</v>
      </c>
      <c r="O196" t="s">
        <v>445</v>
      </c>
      <c r="P196">
        <v>45.77</v>
      </c>
      <c r="Q196" s="2">
        <v>45674</v>
      </c>
      <c r="R196" s="2">
        <v>45683</v>
      </c>
      <c r="S196" t="s">
        <v>50</v>
      </c>
      <c r="T196">
        <f t="shared" si="21"/>
        <v>1945.7239999999999</v>
      </c>
      <c r="U196">
        <f t="shared" si="22"/>
        <v>15</v>
      </c>
      <c r="V196">
        <f t="shared" si="23"/>
        <v>2235.2400000000002</v>
      </c>
      <c r="W196">
        <f t="shared" si="24"/>
        <v>335.28600000000029</v>
      </c>
      <c r="X196">
        <f t="shared" si="25"/>
        <v>9</v>
      </c>
      <c r="Y196" cm="1">
        <f t="array" ref="Y196">_xlfn.IFS(H196=0.1,1,H196=0.15,1,H196=0.05,1,H196=0,0)</f>
        <v>1</v>
      </c>
      <c r="Z196">
        <f t="shared" si="26"/>
        <v>18</v>
      </c>
      <c r="AA196">
        <f t="shared" si="27"/>
        <v>2025</v>
      </c>
    </row>
    <row r="197" spans="1:27" x14ac:dyDescent="0.3">
      <c r="A197" s="2">
        <v>45256</v>
      </c>
      <c r="B197" t="s">
        <v>71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68</v>
      </c>
      <c r="J197">
        <v>1160.46</v>
      </c>
      <c r="K197" t="s">
        <v>24</v>
      </c>
      <c r="L197" t="s">
        <v>25</v>
      </c>
      <c r="M197">
        <v>0</v>
      </c>
      <c r="N197" t="s">
        <v>446</v>
      </c>
      <c r="O197" t="s">
        <v>447</v>
      </c>
      <c r="P197">
        <v>18.170000000000002</v>
      </c>
      <c r="Q197" s="2">
        <v>45256</v>
      </c>
      <c r="R197" s="2">
        <v>45262</v>
      </c>
      <c r="S197" t="s">
        <v>74</v>
      </c>
      <c r="T197">
        <f t="shared" si="21"/>
        <v>1178.6300000000001</v>
      </c>
      <c r="U197">
        <f t="shared" si="22"/>
        <v>10</v>
      </c>
      <c r="V197">
        <f t="shared" si="23"/>
        <v>1289.4000000000001</v>
      </c>
      <c r="W197">
        <f t="shared" si="24"/>
        <v>128.94000000000005</v>
      </c>
      <c r="X197">
        <f t="shared" si="25"/>
        <v>6</v>
      </c>
      <c r="Y197" cm="1">
        <f t="array" ref="Y197">_xlfn.IFS(H197=0.1,1,H197=0.15,1,H197=0.05,1,H197=0,0)</f>
        <v>1</v>
      </c>
      <c r="Z197">
        <f t="shared" si="26"/>
        <v>12</v>
      </c>
      <c r="AA197">
        <f t="shared" si="27"/>
        <v>2023</v>
      </c>
    </row>
    <row r="198" spans="1:27" x14ac:dyDescent="0.3">
      <c r="A198" s="2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448</v>
      </c>
      <c r="O198" t="s">
        <v>449</v>
      </c>
      <c r="P198">
        <v>28.57</v>
      </c>
      <c r="Q198" s="2">
        <v>44971</v>
      </c>
      <c r="R198" s="2">
        <v>44975</v>
      </c>
      <c r="S198" t="s">
        <v>28</v>
      </c>
      <c r="T198">
        <f t="shared" si="21"/>
        <v>2989.6420000000003</v>
      </c>
      <c r="U198">
        <f t="shared" si="22"/>
        <v>10</v>
      </c>
      <c r="V198">
        <f t="shared" si="23"/>
        <v>3290.08</v>
      </c>
      <c r="W198">
        <f t="shared" si="24"/>
        <v>329.00799999999981</v>
      </c>
      <c r="X198">
        <f t="shared" si="25"/>
        <v>4</v>
      </c>
      <c r="Y198" cm="1">
        <f t="array" ref="Y198">_xlfn.IFS(H198=0.1,1,H198=0.15,1,H198=0.05,1,H198=0,0)</f>
        <v>1</v>
      </c>
      <c r="Z198">
        <f t="shared" si="26"/>
        <v>8</v>
      </c>
      <c r="AA198">
        <f t="shared" si="27"/>
        <v>2023</v>
      </c>
    </row>
    <row r="199" spans="1:27" x14ac:dyDescent="0.3">
      <c r="A199" s="2">
        <v>45690</v>
      </c>
      <c r="B199" t="s">
        <v>45</v>
      </c>
      <c r="C199" t="s">
        <v>132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65</v>
      </c>
      <c r="L199" t="s">
        <v>41</v>
      </c>
      <c r="M199">
        <v>0</v>
      </c>
      <c r="N199" t="s">
        <v>450</v>
      </c>
      <c r="O199" t="s">
        <v>451</v>
      </c>
      <c r="P199">
        <v>31.8</v>
      </c>
      <c r="Q199" s="2">
        <v>45690</v>
      </c>
      <c r="R199" s="2">
        <v>45694</v>
      </c>
      <c r="S199" t="s">
        <v>50</v>
      </c>
      <c r="T199">
        <f t="shared" si="21"/>
        <v>1768.5</v>
      </c>
      <c r="U199">
        <f t="shared" si="22"/>
        <v>0</v>
      </c>
      <c r="V199">
        <f t="shared" si="23"/>
        <v>1736.7</v>
      </c>
      <c r="W199">
        <f t="shared" si="24"/>
        <v>0</v>
      </c>
      <c r="X199">
        <f t="shared" si="25"/>
        <v>4</v>
      </c>
      <c r="Y199" cm="1">
        <f t="array" ref="Y199">_xlfn.IFS(H199=0.1,1,H199=0.15,1,H199=0.05,1,H199=0,0)</f>
        <v>0</v>
      </c>
      <c r="Z199">
        <f t="shared" si="26"/>
        <v>0</v>
      </c>
      <c r="AA199">
        <f t="shared" si="27"/>
        <v>2025</v>
      </c>
    </row>
    <row r="200" spans="1:27" x14ac:dyDescent="0.3">
      <c r="A200" s="2">
        <v>45027</v>
      </c>
      <c r="B200" t="s">
        <v>71</v>
      </c>
      <c r="C200" t="s">
        <v>132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L200" t="s">
        <v>59</v>
      </c>
      <c r="M200">
        <v>0</v>
      </c>
      <c r="N200" t="s">
        <v>452</v>
      </c>
      <c r="O200" t="s">
        <v>453</v>
      </c>
      <c r="P200">
        <v>16.5</v>
      </c>
      <c r="Q200" s="2">
        <v>45027</v>
      </c>
      <c r="R200" s="2">
        <v>45036</v>
      </c>
      <c r="S200" t="s">
        <v>74</v>
      </c>
      <c r="T200">
        <f t="shared" si="21"/>
        <v>1330.104</v>
      </c>
      <c r="U200">
        <f t="shared" si="22"/>
        <v>10</v>
      </c>
      <c r="V200">
        <f t="shared" si="23"/>
        <v>1459.56</v>
      </c>
      <c r="W200">
        <f t="shared" si="24"/>
        <v>145.9559999999999</v>
      </c>
      <c r="X200">
        <f t="shared" si="25"/>
        <v>9</v>
      </c>
      <c r="Y200" cm="1">
        <f t="array" ref="Y200">_xlfn.IFS(H200=0.1,1,H200=0.15,1,H200=0.05,1,H200=0,0)</f>
        <v>1</v>
      </c>
      <c r="Z200">
        <f t="shared" si="26"/>
        <v>3</v>
      </c>
      <c r="AA200">
        <f t="shared" si="27"/>
        <v>2023</v>
      </c>
    </row>
    <row r="201" spans="1:27" x14ac:dyDescent="0.3">
      <c r="A201" s="2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65</v>
      </c>
      <c r="L201" t="s">
        <v>41</v>
      </c>
      <c r="M201">
        <v>0</v>
      </c>
      <c r="N201" t="s">
        <v>454</v>
      </c>
      <c r="O201" t="s">
        <v>455</v>
      </c>
      <c r="P201">
        <v>33.58</v>
      </c>
      <c r="Q201" s="2">
        <v>45481</v>
      </c>
      <c r="R201" s="2">
        <v>45486</v>
      </c>
      <c r="S201" t="s">
        <v>44</v>
      </c>
      <c r="T201">
        <f t="shared" si="21"/>
        <v>6757.2280000000001</v>
      </c>
      <c r="U201">
        <f t="shared" si="22"/>
        <v>10</v>
      </c>
      <c r="V201">
        <f t="shared" si="23"/>
        <v>7470.72</v>
      </c>
      <c r="W201">
        <f t="shared" si="24"/>
        <v>747.07200000000012</v>
      </c>
      <c r="X201">
        <f t="shared" si="25"/>
        <v>5</v>
      </c>
      <c r="Y201" cm="1">
        <f t="array" ref="Y201">_xlfn.IFS(H201=0.1,1,H201=0.15,1,H201=0.05,1,H201=0,0)</f>
        <v>1</v>
      </c>
      <c r="Z201">
        <f t="shared" si="26"/>
        <v>18</v>
      </c>
      <c r="AA201">
        <f t="shared" si="27"/>
        <v>2024</v>
      </c>
    </row>
    <row r="202" spans="1:27" x14ac:dyDescent="0.3">
      <c r="A202" s="2">
        <v>44965</v>
      </c>
      <c r="B202" t="s">
        <v>45</v>
      </c>
      <c r="C202" t="s">
        <v>132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L202" t="s">
        <v>59</v>
      </c>
      <c r="M202">
        <v>0</v>
      </c>
      <c r="N202" t="s">
        <v>456</v>
      </c>
      <c r="O202" t="s">
        <v>457</v>
      </c>
      <c r="P202">
        <v>25.2</v>
      </c>
      <c r="Q202" s="2">
        <v>44965</v>
      </c>
      <c r="R202" s="2">
        <v>44971</v>
      </c>
      <c r="S202" t="s">
        <v>50</v>
      </c>
      <c r="T202">
        <f t="shared" si="21"/>
        <v>2696.087</v>
      </c>
      <c r="U202">
        <f t="shared" si="22"/>
        <v>15</v>
      </c>
      <c r="V202">
        <f t="shared" si="23"/>
        <v>3142.22</v>
      </c>
      <c r="W202">
        <f t="shared" si="24"/>
        <v>471.33299999999963</v>
      </c>
      <c r="X202">
        <f t="shared" si="25"/>
        <v>6</v>
      </c>
      <c r="Y202" cm="1">
        <f t="array" ref="Y202">_xlfn.IFS(H202=0.1,1,H202=0.15,1,H202=0.05,1,H202=0,0)</f>
        <v>1</v>
      </c>
      <c r="Z202">
        <f t="shared" si="26"/>
        <v>19</v>
      </c>
      <c r="AA202">
        <f t="shared" si="27"/>
        <v>2023</v>
      </c>
    </row>
    <row r="203" spans="1:27" x14ac:dyDescent="0.3">
      <c r="A203" s="2">
        <v>45391</v>
      </c>
      <c r="B203" t="s">
        <v>71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458</v>
      </c>
      <c r="O203" t="s">
        <v>459</v>
      </c>
      <c r="P203">
        <v>6.58</v>
      </c>
      <c r="Q203" s="2">
        <v>45391</v>
      </c>
      <c r="R203" s="2">
        <v>45398</v>
      </c>
      <c r="S203" t="s">
        <v>74</v>
      </c>
      <c r="T203">
        <f t="shared" si="21"/>
        <v>241.52</v>
      </c>
      <c r="U203">
        <f t="shared" si="22"/>
        <v>0</v>
      </c>
      <c r="V203">
        <f t="shared" si="23"/>
        <v>234.94</v>
      </c>
      <c r="W203">
        <f t="shared" si="24"/>
        <v>0</v>
      </c>
      <c r="X203">
        <f t="shared" si="25"/>
        <v>7</v>
      </c>
      <c r="Y203" cm="1">
        <f t="array" ref="Y203">_xlfn.IFS(H203=0.1,1,H203=0.15,1,H203=0.05,1,H203=0,0)</f>
        <v>0</v>
      </c>
      <c r="Z203">
        <f t="shared" si="26"/>
        <v>0</v>
      </c>
      <c r="AA203">
        <f t="shared" si="27"/>
        <v>2024</v>
      </c>
    </row>
    <row r="204" spans="1:27" x14ac:dyDescent="0.3">
      <c r="A204" s="2">
        <v>45152</v>
      </c>
      <c r="B204" t="s">
        <v>45</v>
      </c>
      <c r="C204" t="s">
        <v>132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L204" t="s">
        <v>59</v>
      </c>
      <c r="M204">
        <v>0</v>
      </c>
      <c r="N204" t="s">
        <v>460</v>
      </c>
      <c r="O204" t="s">
        <v>461</v>
      </c>
      <c r="P204">
        <v>47.81</v>
      </c>
      <c r="Q204" s="2">
        <v>45152</v>
      </c>
      <c r="R204" s="2">
        <v>45156</v>
      </c>
      <c r="S204" t="s">
        <v>50</v>
      </c>
      <c r="T204">
        <f t="shared" si="21"/>
        <v>3580.5034999999998</v>
      </c>
      <c r="U204">
        <f t="shared" si="22"/>
        <v>15</v>
      </c>
      <c r="V204">
        <f t="shared" si="23"/>
        <v>4156.1100000000006</v>
      </c>
      <c r="W204">
        <f t="shared" si="24"/>
        <v>623.41650000000072</v>
      </c>
      <c r="X204">
        <f t="shared" si="25"/>
        <v>4</v>
      </c>
      <c r="Y204" cm="1">
        <f t="array" ref="Y204">_xlfn.IFS(H204=0.1,1,H204=0.15,1,H204=0.05,1,H204=0,0)</f>
        <v>1</v>
      </c>
      <c r="Z204">
        <f t="shared" si="26"/>
        <v>9</v>
      </c>
      <c r="AA204">
        <f t="shared" si="27"/>
        <v>2023</v>
      </c>
    </row>
    <row r="205" spans="1:27" x14ac:dyDescent="0.3">
      <c r="A205" s="2">
        <v>45537</v>
      </c>
      <c r="B205" t="s">
        <v>71</v>
      </c>
      <c r="C205" t="s">
        <v>81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462</v>
      </c>
      <c r="O205" t="s">
        <v>463</v>
      </c>
      <c r="P205">
        <v>38.409999999999997</v>
      </c>
      <c r="Q205" s="2">
        <v>45537</v>
      </c>
      <c r="R205" s="2">
        <v>45541</v>
      </c>
      <c r="S205" t="s">
        <v>74</v>
      </c>
      <c r="T205">
        <f t="shared" si="21"/>
        <v>3805.806</v>
      </c>
      <c r="U205">
        <f t="shared" si="22"/>
        <v>5</v>
      </c>
      <c r="V205">
        <f t="shared" si="23"/>
        <v>3965.68</v>
      </c>
      <c r="W205">
        <f t="shared" si="24"/>
        <v>198.28399999999965</v>
      </c>
      <c r="X205">
        <f t="shared" si="25"/>
        <v>4</v>
      </c>
      <c r="Y205" cm="1">
        <f t="array" ref="Y205">_xlfn.IFS(H205=0.1,1,H205=0.15,1,H205=0.05,1,H205=0,0)</f>
        <v>1</v>
      </c>
      <c r="Z205">
        <f t="shared" si="26"/>
        <v>19</v>
      </c>
      <c r="AA205">
        <f t="shared" si="27"/>
        <v>2024</v>
      </c>
    </row>
    <row r="206" spans="1:27" x14ac:dyDescent="0.3">
      <c r="A206" s="2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65</v>
      </c>
      <c r="L206" t="s">
        <v>35</v>
      </c>
      <c r="M206">
        <v>0</v>
      </c>
      <c r="N206" t="s">
        <v>464</v>
      </c>
      <c r="O206" t="s">
        <v>465</v>
      </c>
      <c r="P206">
        <v>24.29</v>
      </c>
      <c r="Q206" s="2">
        <v>45837</v>
      </c>
      <c r="R206" s="2">
        <v>45842</v>
      </c>
      <c r="S206" t="s">
        <v>50</v>
      </c>
      <c r="T206">
        <f t="shared" si="21"/>
        <v>3806.8580000000002</v>
      </c>
      <c r="U206">
        <f t="shared" si="22"/>
        <v>15</v>
      </c>
      <c r="V206">
        <f t="shared" si="23"/>
        <v>4450.08</v>
      </c>
      <c r="W206">
        <f t="shared" si="24"/>
        <v>667.51199999999972</v>
      </c>
      <c r="X206">
        <f t="shared" si="25"/>
        <v>5</v>
      </c>
      <c r="Y206" cm="1">
        <f t="array" ref="Y206">_xlfn.IFS(H206=0.1,1,H206=0.15,1,H206=0.05,1,H206=0,0)</f>
        <v>1</v>
      </c>
      <c r="Z206">
        <f t="shared" si="26"/>
        <v>16</v>
      </c>
      <c r="AA206">
        <f t="shared" si="27"/>
        <v>2025</v>
      </c>
    </row>
    <row r="207" spans="1:27" x14ac:dyDescent="0.3">
      <c r="A207" s="2">
        <v>45749</v>
      </c>
      <c r="B207" t="s">
        <v>71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62</v>
      </c>
      <c r="L207" t="s">
        <v>41</v>
      </c>
      <c r="M207">
        <v>0</v>
      </c>
      <c r="N207" t="s">
        <v>466</v>
      </c>
      <c r="O207" t="s">
        <v>467</v>
      </c>
      <c r="P207">
        <v>7.33</v>
      </c>
      <c r="Q207" s="2">
        <v>45749</v>
      </c>
      <c r="R207" s="2">
        <v>45755</v>
      </c>
      <c r="S207" t="s">
        <v>74</v>
      </c>
      <c r="T207">
        <f t="shared" si="21"/>
        <v>1109.691</v>
      </c>
      <c r="U207">
        <f t="shared" si="22"/>
        <v>5</v>
      </c>
      <c r="V207">
        <f t="shared" si="23"/>
        <v>1160.3800000000001</v>
      </c>
      <c r="W207">
        <f t="shared" si="24"/>
        <v>58.019000000000005</v>
      </c>
      <c r="X207">
        <f t="shared" si="25"/>
        <v>6</v>
      </c>
      <c r="Y207" cm="1">
        <f t="array" ref="Y207">_xlfn.IFS(H207=0.1,1,H207=0.15,1,H207=0.05,1,H207=0,0)</f>
        <v>1</v>
      </c>
      <c r="Z207">
        <f t="shared" si="26"/>
        <v>2</v>
      </c>
      <c r="AA207">
        <f t="shared" si="27"/>
        <v>2025</v>
      </c>
    </row>
    <row r="208" spans="1:27" x14ac:dyDescent="0.3">
      <c r="A208" s="2">
        <v>45043</v>
      </c>
      <c r="B208" t="s">
        <v>45</v>
      </c>
      <c r="C208" t="s">
        <v>81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65</v>
      </c>
      <c r="L208" t="s">
        <v>59</v>
      </c>
      <c r="M208">
        <v>1</v>
      </c>
      <c r="N208" t="s">
        <v>468</v>
      </c>
      <c r="O208" t="s">
        <v>469</v>
      </c>
      <c r="P208">
        <v>14.58</v>
      </c>
      <c r="Q208" s="2">
        <v>45043</v>
      </c>
      <c r="R208" s="2">
        <v>45053</v>
      </c>
      <c r="S208" t="s">
        <v>50</v>
      </c>
      <c r="T208">
        <f t="shared" si="21"/>
        <v>4307.0199999999995</v>
      </c>
      <c r="U208">
        <f t="shared" si="22"/>
        <v>0</v>
      </c>
      <c r="V208">
        <f t="shared" si="23"/>
        <v>4291.4399999999996</v>
      </c>
      <c r="W208">
        <f t="shared" si="24"/>
        <v>0</v>
      </c>
      <c r="X208">
        <f t="shared" si="25"/>
        <v>10</v>
      </c>
      <c r="Y208" cm="1">
        <f t="array" ref="Y208">_xlfn.IFS(H208=0.1,1,H208=0.15,1,H208=0.05,1,H208=0,0)</f>
        <v>0</v>
      </c>
      <c r="Z208">
        <f t="shared" si="26"/>
        <v>0</v>
      </c>
      <c r="AA208">
        <f t="shared" si="27"/>
        <v>2023</v>
      </c>
    </row>
    <row r="209" spans="1:27" x14ac:dyDescent="0.3">
      <c r="A209" s="2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L209" t="s">
        <v>59</v>
      </c>
      <c r="M209">
        <v>0</v>
      </c>
      <c r="N209" t="s">
        <v>470</v>
      </c>
      <c r="O209" t="s">
        <v>471</v>
      </c>
      <c r="P209">
        <v>49.17</v>
      </c>
      <c r="Q209" s="2">
        <v>45511</v>
      </c>
      <c r="R209" s="2">
        <v>45521</v>
      </c>
      <c r="S209" t="s">
        <v>28</v>
      </c>
      <c r="T209">
        <f t="shared" si="21"/>
        <v>143.5</v>
      </c>
      <c r="U209">
        <f t="shared" si="22"/>
        <v>0</v>
      </c>
      <c r="V209">
        <f t="shared" si="23"/>
        <v>94.33</v>
      </c>
      <c r="W209">
        <f t="shared" si="24"/>
        <v>0</v>
      </c>
      <c r="X209">
        <f t="shared" si="25"/>
        <v>10</v>
      </c>
      <c r="Y209" cm="1">
        <f t="array" ref="Y209">_xlfn.IFS(H209=0.1,1,H209=0.15,1,H209=0.05,1,H209=0,0)</f>
        <v>0</v>
      </c>
      <c r="Z209">
        <f t="shared" si="26"/>
        <v>0</v>
      </c>
      <c r="AA209">
        <f t="shared" si="27"/>
        <v>2024</v>
      </c>
    </row>
    <row r="210" spans="1:27" x14ac:dyDescent="0.3">
      <c r="A210" s="2">
        <v>45031</v>
      </c>
      <c r="B210" t="s">
        <v>71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65</v>
      </c>
      <c r="L210" t="s">
        <v>35</v>
      </c>
      <c r="M210">
        <v>0</v>
      </c>
      <c r="N210" t="s">
        <v>472</v>
      </c>
      <c r="O210" t="s">
        <v>172</v>
      </c>
      <c r="P210">
        <v>9.69</v>
      </c>
      <c r="Q210" s="2">
        <v>45031</v>
      </c>
      <c r="R210" s="2">
        <v>45041</v>
      </c>
      <c r="S210" t="s">
        <v>74</v>
      </c>
      <c r="T210">
        <f t="shared" si="21"/>
        <v>7064.826</v>
      </c>
      <c r="U210">
        <f t="shared" si="22"/>
        <v>10</v>
      </c>
      <c r="V210">
        <f t="shared" si="23"/>
        <v>7839.04</v>
      </c>
      <c r="W210">
        <f t="shared" si="24"/>
        <v>783.90399999999954</v>
      </c>
      <c r="X210">
        <f t="shared" si="25"/>
        <v>10</v>
      </c>
      <c r="Y210" cm="1">
        <f t="array" ref="Y210">_xlfn.IFS(H210=0.1,1,H210=0.15,1,H210=0.05,1,H210=0,0)</f>
        <v>1</v>
      </c>
      <c r="Z210">
        <f t="shared" si="26"/>
        <v>16</v>
      </c>
      <c r="AA210">
        <f t="shared" si="27"/>
        <v>2023</v>
      </c>
    </row>
    <row r="211" spans="1:27" x14ac:dyDescent="0.3">
      <c r="A211" s="2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L211" t="s">
        <v>59</v>
      </c>
      <c r="M211">
        <v>1</v>
      </c>
      <c r="N211" t="s">
        <v>473</v>
      </c>
      <c r="O211" t="s">
        <v>474</v>
      </c>
      <c r="P211">
        <v>26.32</v>
      </c>
      <c r="Q211" s="2">
        <v>45150</v>
      </c>
      <c r="R211" s="2">
        <v>45153</v>
      </c>
      <c r="S211" t="s">
        <v>38</v>
      </c>
      <c r="T211">
        <f t="shared" si="21"/>
        <v>2123.8180000000002</v>
      </c>
      <c r="U211">
        <f t="shared" si="22"/>
        <v>5</v>
      </c>
      <c r="V211">
        <f t="shared" si="23"/>
        <v>2206.84</v>
      </c>
      <c r="W211">
        <f t="shared" si="24"/>
        <v>110.3420000000001</v>
      </c>
      <c r="X211">
        <f t="shared" si="25"/>
        <v>3</v>
      </c>
      <c r="Y211" cm="1">
        <f t="array" ref="Y211">_xlfn.IFS(H211=0.1,1,H211=0.15,1,H211=0.05,1,H211=0,0)</f>
        <v>1</v>
      </c>
      <c r="Z211">
        <f t="shared" si="26"/>
        <v>4</v>
      </c>
      <c r="AA211">
        <f t="shared" si="27"/>
        <v>2023</v>
      </c>
    </row>
    <row r="212" spans="1:27" x14ac:dyDescent="0.3">
      <c r="A212" s="2">
        <v>45096</v>
      </c>
      <c r="B212" t="s">
        <v>71</v>
      </c>
      <c r="C212" t="s">
        <v>132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68</v>
      </c>
      <c r="J212">
        <v>8605.9865000000009</v>
      </c>
      <c r="K212" t="s">
        <v>58</v>
      </c>
      <c r="L212" t="s">
        <v>41</v>
      </c>
      <c r="M212">
        <v>0</v>
      </c>
      <c r="N212" t="s">
        <v>475</v>
      </c>
      <c r="O212" t="s">
        <v>476</v>
      </c>
      <c r="P212">
        <v>9.73</v>
      </c>
      <c r="Q212" s="2">
        <v>45096</v>
      </c>
      <c r="R212" s="2">
        <v>45105</v>
      </c>
      <c r="S212" t="s">
        <v>74</v>
      </c>
      <c r="T212">
        <f t="shared" si="21"/>
        <v>8615.7165000000005</v>
      </c>
      <c r="U212">
        <f t="shared" si="22"/>
        <v>15</v>
      </c>
      <c r="V212">
        <f t="shared" si="23"/>
        <v>10124.69</v>
      </c>
      <c r="W212">
        <f t="shared" si="24"/>
        <v>1518.7034999999996</v>
      </c>
      <c r="X212">
        <f t="shared" si="25"/>
        <v>9</v>
      </c>
      <c r="Y212" cm="1">
        <f t="array" ref="Y212">_xlfn.IFS(H212=0.1,1,H212=0.15,1,H212=0.05,1,H212=0,0)</f>
        <v>1</v>
      </c>
      <c r="Z212">
        <f t="shared" si="26"/>
        <v>17</v>
      </c>
      <c r="AA212">
        <f t="shared" si="27"/>
        <v>2023</v>
      </c>
    </row>
    <row r="213" spans="1:27" x14ac:dyDescent="0.3">
      <c r="A213" s="2">
        <v>45289</v>
      </c>
      <c r="B213" t="s">
        <v>19</v>
      </c>
      <c r="C213" t="s">
        <v>132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62</v>
      </c>
      <c r="L213" t="s">
        <v>59</v>
      </c>
      <c r="M213">
        <v>0</v>
      </c>
      <c r="N213" t="s">
        <v>477</v>
      </c>
      <c r="O213" t="s">
        <v>478</v>
      </c>
      <c r="P213">
        <v>27.07</v>
      </c>
      <c r="Q213" s="2">
        <v>45289</v>
      </c>
      <c r="R213" s="2">
        <v>45298</v>
      </c>
      <c r="S213" t="s">
        <v>28</v>
      </c>
      <c r="T213">
        <f t="shared" si="21"/>
        <v>189.178</v>
      </c>
      <c r="U213">
        <f t="shared" si="22"/>
        <v>10</v>
      </c>
      <c r="V213">
        <f t="shared" si="23"/>
        <v>180.12</v>
      </c>
      <c r="W213">
        <f t="shared" si="24"/>
        <v>18.012</v>
      </c>
      <c r="X213">
        <f t="shared" si="25"/>
        <v>9</v>
      </c>
      <c r="Y213" cm="1">
        <f t="array" ref="Y213">_xlfn.IFS(H213=0.1,1,H213=0.15,1,H213=0.05,1,H213=0,0)</f>
        <v>1</v>
      </c>
      <c r="Z213">
        <f t="shared" si="26"/>
        <v>1</v>
      </c>
      <c r="AA213">
        <f t="shared" si="27"/>
        <v>2023</v>
      </c>
    </row>
    <row r="214" spans="1:27" x14ac:dyDescent="0.3">
      <c r="A214" s="2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68</v>
      </c>
      <c r="J214">
        <v>3075.3</v>
      </c>
      <c r="K214" t="s">
        <v>58</v>
      </c>
      <c r="L214" t="s">
        <v>25</v>
      </c>
      <c r="M214">
        <v>1</v>
      </c>
      <c r="N214" t="s">
        <v>479</v>
      </c>
      <c r="O214" t="s">
        <v>480</v>
      </c>
      <c r="P214">
        <v>43.67</v>
      </c>
      <c r="Q214" s="2">
        <v>45011</v>
      </c>
      <c r="R214" s="2">
        <v>45015</v>
      </c>
      <c r="S214" t="s">
        <v>28</v>
      </c>
      <c r="T214">
        <f t="shared" si="21"/>
        <v>3119.9700000000003</v>
      </c>
      <c r="U214">
        <f t="shared" si="22"/>
        <v>15</v>
      </c>
      <c r="V214">
        <f t="shared" si="23"/>
        <v>3618</v>
      </c>
      <c r="W214">
        <f t="shared" si="24"/>
        <v>542.69999999999982</v>
      </c>
      <c r="X214">
        <f t="shared" si="25"/>
        <v>4</v>
      </c>
      <c r="Y214" cm="1">
        <f t="array" ref="Y214">_xlfn.IFS(H214=0.1,1,H214=0.15,1,H214=0.05,1,H214=0,0)</f>
        <v>1</v>
      </c>
      <c r="Z214">
        <f t="shared" si="26"/>
        <v>12</v>
      </c>
      <c r="AA214">
        <f t="shared" si="27"/>
        <v>2023</v>
      </c>
    </row>
    <row r="215" spans="1:27" x14ac:dyDescent="0.3">
      <c r="A215" s="2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4650.3499999999995</v>
      </c>
      <c r="K215" t="s">
        <v>62</v>
      </c>
      <c r="L215" t="s">
        <v>59</v>
      </c>
      <c r="M215">
        <v>0</v>
      </c>
      <c r="N215" t="s">
        <v>481</v>
      </c>
      <c r="O215" t="s">
        <v>482</v>
      </c>
      <c r="P215">
        <v>14.76</v>
      </c>
      <c r="Q215" s="2">
        <v>45170</v>
      </c>
      <c r="R215" s="2">
        <v>45176</v>
      </c>
      <c r="S215" t="s">
        <v>38</v>
      </c>
      <c r="T215">
        <f t="shared" si="21"/>
        <v>4665.1099999999997</v>
      </c>
      <c r="U215">
        <f t="shared" si="22"/>
        <v>15</v>
      </c>
      <c r="V215">
        <f t="shared" si="23"/>
        <v>5471</v>
      </c>
      <c r="W215">
        <f t="shared" si="24"/>
        <v>820.65000000000055</v>
      </c>
      <c r="X215">
        <f t="shared" si="25"/>
        <v>6</v>
      </c>
      <c r="Y215" cm="1">
        <f t="array" ref="Y215">_xlfn.IFS(H215=0.1,1,H215=0.15,1,H215=0.05,1,H215=0,0)</f>
        <v>1</v>
      </c>
      <c r="Z215">
        <f t="shared" si="26"/>
        <v>20</v>
      </c>
      <c r="AA215">
        <f t="shared" si="27"/>
        <v>2023</v>
      </c>
    </row>
    <row r="216" spans="1:27" x14ac:dyDescent="0.3">
      <c r="A216" s="2">
        <v>45509</v>
      </c>
      <c r="B216" t="s">
        <v>71</v>
      </c>
      <c r="C216" t="s">
        <v>81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62</v>
      </c>
      <c r="L216" t="s">
        <v>25</v>
      </c>
      <c r="M216">
        <v>0</v>
      </c>
      <c r="N216" t="s">
        <v>483</v>
      </c>
      <c r="O216" t="s">
        <v>484</v>
      </c>
      <c r="P216">
        <v>11.03</v>
      </c>
      <c r="Q216" s="2">
        <v>45509</v>
      </c>
      <c r="R216" s="2">
        <v>45517</v>
      </c>
      <c r="S216" t="s">
        <v>74</v>
      </c>
      <c r="T216">
        <f t="shared" si="21"/>
        <v>1021.154</v>
      </c>
      <c r="U216">
        <f t="shared" si="22"/>
        <v>10</v>
      </c>
      <c r="V216">
        <f t="shared" si="23"/>
        <v>1122.3600000000001</v>
      </c>
      <c r="W216">
        <f t="shared" si="24"/>
        <v>112.2360000000001</v>
      </c>
      <c r="X216">
        <f t="shared" si="25"/>
        <v>8</v>
      </c>
      <c r="Y216" cm="1">
        <f t="array" ref="Y216">_xlfn.IFS(H216=0.1,1,H216=0.15,1,H216=0.05,1,H216=0,0)</f>
        <v>1</v>
      </c>
      <c r="Z216">
        <f t="shared" si="26"/>
        <v>6</v>
      </c>
      <c r="AA216">
        <f t="shared" si="27"/>
        <v>2024</v>
      </c>
    </row>
    <row r="217" spans="1:27" x14ac:dyDescent="0.3">
      <c r="A217" s="2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L217" t="s">
        <v>59</v>
      </c>
      <c r="M217">
        <v>0</v>
      </c>
      <c r="N217" t="s">
        <v>485</v>
      </c>
      <c r="O217" t="s">
        <v>486</v>
      </c>
      <c r="P217">
        <v>18.23</v>
      </c>
      <c r="Q217" s="2">
        <v>45680</v>
      </c>
      <c r="R217" s="2">
        <v>45684</v>
      </c>
      <c r="S217" t="s">
        <v>44</v>
      </c>
      <c r="T217">
        <f t="shared" si="21"/>
        <v>9018.5499999999993</v>
      </c>
      <c r="U217">
        <f t="shared" si="22"/>
        <v>0</v>
      </c>
      <c r="V217">
        <f t="shared" si="23"/>
        <v>9000.32</v>
      </c>
      <c r="W217">
        <f t="shared" si="24"/>
        <v>0</v>
      </c>
      <c r="X217">
        <f t="shared" si="25"/>
        <v>4</v>
      </c>
      <c r="Y217" cm="1">
        <f t="array" ref="Y217">_xlfn.IFS(H217=0.1,1,H217=0.15,1,H217=0.05,1,H217=0,0)</f>
        <v>0</v>
      </c>
      <c r="Z217">
        <f t="shared" si="26"/>
        <v>0</v>
      </c>
      <c r="AA217">
        <f t="shared" si="27"/>
        <v>2025</v>
      </c>
    </row>
    <row r="218" spans="1:27" x14ac:dyDescent="0.3">
      <c r="A218" s="2">
        <v>45062</v>
      </c>
      <c r="B218" t="s">
        <v>19</v>
      </c>
      <c r="C218" t="s">
        <v>81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L218" t="s">
        <v>59</v>
      </c>
      <c r="M218">
        <v>0</v>
      </c>
      <c r="N218" t="s">
        <v>487</v>
      </c>
      <c r="O218" t="s">
        <v>488</v>
      </c>
      <c r="P218">
        <v>38.51</v>
      </c>
      <c r="Q218" s="2">
        <v>45062</v>
      </c>
      <c r="R218" s="2">
        <v>45069</v>
      </c>
      <c r="S218" t="s">
        <v>28</v>
      </c>
      <c r="T218">
        <f t="shared" si="21"/>
        <v>345.08600000000001</v>
      </c>
      <c r="U218">
        <f t="shared" si="22"/>
        <v>10</v>
      </c>
      <c r="V218">
        <f t="shared" si="23"/>
        <v>340.64</v>
      </c>
      <c r="W218">
        <f t="shared" si="24"/>
        <v>34.063999999999965</v>
      </c>
      <c r="X218">
        <f t="shared" si="25"/>
        <v>7</v>
      </c>
      <c r="Y218" cm="1">
        <f t="array" ref="Y218">_xlfn.IFS(H218=0.1,1,H218=0.15,1,H218=0.05,1,H218=0,0)</f>
        <v>1</v>
      </c>
      <c r="Z218">
        <f t="shared" si="26"/>
        <v>4</v>
      </c>
      <c r="AA218">
        <f t="shared" si="27"/>
        <v>2023</v>
      </c>
    </row>
    <row r="219" spans="1:27" x14ac:dyDescent="0.3">
      <c r="A219" s="2">
        <v>44971</v>
      </c>
      <c r="B219" t="s">
        <v>39</v>
      </c>
      <c r="C219" t="s">
        <v>81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489</v>
      </c>
      <c r="O219" t="s">
        <v>490</v>
      </c>
      <c r="P219">
        <v>9.5399999999999991</v>
      </c>
      <c r="Q219" s="2">
        <v>44971</v>
      </c>
      <c r="R219" s="2">
        <v>44979</v>
      </c>
      <c r="S219" t="s">
        <v>44</v>
      </c>
      <c r="T219">
        <f t="shared" si="21"/>
        <v>4614.942</v>
      </c>
      <c r="U219">
        <f t="shared" si="22"/>
        <v>15</v>
      </c>
      <c r="V219">
        <f t="shared" si="23"/>
        <v>5418.12</v>
      </c>
      <c r="W219">
        <f t="shared" si="24"/>
        <v>812.71799999999985</v>
      </c>
      <c r="X219">
        <f t="shared" si="25"/>
        <v>8</v>
      </c>
      <c r="Y219" cm="1">
        <f t="array" ref="Y219">_xlfn.IFS(H219=0.1,1,H219=0.15,1,H219=0.05,1,H219=0,0)</f>
        <v>1</v>
      </c>
      <c r="Z219">
        <f t="shared" si="26"/>
        <v>12</v>
      </c>
      <c r="AA219">
        <f t="shared" si="27"/>
        <v>2023</v>
      </c>
    </row>
    <row r="220" spans="1:27" x14ac:dyDescent="0.3">
      <c r="A220" s="2">
        <v>45446</v>
      </c>
      <c r="B220" t="s">
        <v>45</v>
      </c>
      <c r="C220" t="s">
        <v>81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491</v>
      </c>
      <c r="O220" t="s">
        <v>492</v>
      </c>
      <c r="P220">
        <v>19.2</v>
      </c>
      <c r="Q220" s="2">
        <v>45446</v>
      </c>
      <c r="R220" s="2">
        <v>45455</v>
      </c>
      <c r="S220" t="s">
        <v>50</v>
      </c>
      <c r="T220">
        <f t="shared" si="21"/>
        <v>240.08949999999999</v>
      </c>
      <c r="U220">
        <f t="shared" si="22"/>
        <v>15</v>
      </c>
      <c r="V220">
        <f t="shared" si="23"/>
        <v>259.87</v>
      </c>
      <c r="W220">
        <f t="shared" si="24"/>
        <v>38.980500000000006</v>
      </c>
      <c r="X220">
        <f t="shared" si="25"/>
        <v>9</v>
      </c>
      <c r="Y220" cm="1">
        <f t="array" ref="Y220">_xlfn.IFS(H220=0.1,1,H220=0.15,1,H220=0.05,1,H220=0,0)</f>
        <v>1</v>
      </c>
      <c r="Z220">
        <f t="shared" si="26"/>
        <v>1</v>
      </c>
      <c r="AA220">
        <f t="shared" si="27"/>
        <v>2024</v>
      </c>
    </row>
    <row r="221" spans="1:27" x14ac:dyDescent="0.3">
      <c r="A221" s="2">
        <v>45238</v>
      </c>
      <c r="B221" t="s">
        <v>45</v>
      </c>
      <c r="C221" t="s">
        <v>81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65</v>
      </c>
      <c r="L221" t="s">
        <v>25</v>
      </c>
      <c r="M221">
        <v>0</v>
      </c>
      <c r="N221" t="s">
        <v>493</v>
      </c>
      <c r="O221" t="s">
        <v>494</v>
      </c>
      <c r="P221">
        <v>20.96</v>
      </c>
      <c r="Q221" s="2">
        <v>45238</v>
      </c>
      <c r="R221" s="2">
        <v>45245</v>
      </c>
      <c r="S221" t="s">
        <v>50</v>
      </c>
      <c r="T221">
        <f t="shared" si="21"/>
        <v>5117.71</v>
      </c>
      <c r="U221">
        <f t="shared" si="22"/>
        <v>5</v>
      </c>
      <c r="V221">
        <f t="shared" si="23"/>
        <v>5365</v>
      </c>
      <c r="W221">
        <f t="shared" si="24"/>
        <v>268.25</v>
      </c>
      <c r="X221">
        <f t="shared" si="25"/>
        <v>7</v>
      </c>
      <c r="Y221" cm="1">
        <f t="array" ref="Y221">_xlfn.IFS(H221=0.1,1,H221=0.15,1,H221=0.05,1,H221=0,0)</f>
        <v>1</v>
      </c>
      <c r="Z221">
        <f t="shared" si="26"/>
        <v>20</v>
      </c>
      <c r="AA221">
        <f t="shared" si="27"/>
        <v>2023</v>
      </c>
    </row>
    <row r="222" spans="1:27" x14ac:dyDescent="0.3">
      <c r="A222" s="2">
        <v>44950</v>
      </c>
      <c r="B222" t="s">
        <v>71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495</v>
      </c>
      <c r="O222" t="s">
        <v>496</v>
      </c>
      <c r="P222">
        <v>21.01</v>
      </c>
      <c r="Q222" s="2">
        <v>44950</v>
      </c>
      <c r="R222" s="2">
        <v>44952</v>
      </c>
      <c r="S222" t="s">
        <v>74</v>
      </c>
      <c r="T222">
        <f t="shared" si="21"/>
        <v>2682.3100000000004</v>
      </c>
      <c r="U222">
        <f t="shared" si="22"/>
        <v>0</v>
      </c>
      <c r="V222">
        <f t="shared" si="23"/>
        <v>2661.3</v>
      </c>
      <c r="W222">
        <f t="shared" si="24"/>
        <v>0</v>
      </c>
      <c r="X222">
        <f t="shared" si="25"/>
        <v>2</v>
      </c>
      <c r="Y222" cm="1">
        <f t="array" ref="Y222">_xlfn.IFS(H222=0.1,1,H222=0.15,1,H222=0.05,1,H222=0,0)</f>
        <v>0</v>
      </c>
      <c r="Z222">
        <f t="shared" si="26"/>
        <v>0</v>
      </c>
      <c r="AA222">
        <f t="shared" si="27"/>
        <v>2023</v>
      </c>
    </row>
    <row r="223" spans="1:27" x14ac:dyDescent="0.3">
      <c r="A223" s="2">
        <v>45736</v>
      </c>
      <c r="B223" t="s">
        <v>71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65</v>
      </c>
      <c r="L223" t="s">
        <v>41</v>
      </c>
      <c r="M223">
        <v>1</v>
      </c>
      <c r="N223" t="s">
        <v>497</v>
      </c>
      <c r="O223" t="s">
        <v>498</v>
      </c>
      <c r="P223">
        <v>46.87</v>
      </c>
      <c r="Q223" s="2">
        <v>45736</v>
      </c>
      <c r="R223" s="2">
        <v>45744</v>
      </c>
      <c r="S223" t="s">
        <v>74</v>
      </c>
      <c r="T223">
        <f t="shared" si="21"/>
        <v>8479.1959999999999</v>
      </c>
      <c r="U223">
        <f t="shared" si="22"/>
        <v>5</v>
      </c>
      <c r="V223">
        <f t="shared" si="23"/>
        <v>8875.08</v>
      </c>
      <c r="W223">
        <f t="shared" si="24"/>
        <v>443.75400000000081</v>
      </c>
      <c r="X223">
        <f t="shared" si="25"/>
        <v>8</v>
      </c>
      <c r="Y223" cm="1">
        <f t="array" ref="Y223">_xlfn.IFS(H223=0.1,1,H223=0.15,1,H223=0.05,1,H223=0,0)</f>
        <v>1</v>
      </c>
      <c r="Z223">
        <f t="shared" si="26"/>
        <v>18</v>
      </c>
      <c r="AA223">
        <f t="shared" si="27"/>
        <v>2025</v>
      </c>
    </row>
    <row r="224" spans="1:27" x14ac:dyDescent="0.3">
      <c r="A224" s="2">
        <v>45344</v>
      </c>
      <c r="B224" t="s">
        <v>71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499</v>
      </c>
      <c r="O224" t="s">
        <v>500</v>
      </c>
      <c r="P224">
        <v>24.86</v>
      </c>
      <c r="Q224" s="2">
        <v>45344</v>
      </c>
      <c r="R224" s="2">
        <v>45352</v>
      </c>
      <c r="S224" t="s">
        <v>74</v>
      </c>
      <c r="T224">
        <f t="shared" si="21"/>
        <v>165.77600000000001</v>
      </c>
      <c r="U224">
        <f t="shared" si="22"/>
        <v>5</v>
      </c>
      <c r="V224">
        <f t="shared" si="23"/>
        <v>147.28</v>
      </c>
      <c r="W224">
        <f t="shared" si="24"/>
        <v>7.3640000000000043</v>
      </c>
      <c r="X224">
        <f t="shared" si="25"/>
        <v>8</v>
      </c>
      <c r="Y224" cm="1">
        <f t="array" ref="Y224">_xlfn.IFS(H224=0.1,1,H224=0.15,1,H224=0.05,1,H224=0,0)</f>
        <v>1</v>
      </c>
      <c r="Z224">
        <f t="shared" si="26"/>
        <v>4</v>
      </c>
      <c r="AA224">
        <f t="shared" si="27"/>
        <v>2024</v>
      </c>
    </row>
    <row r="225" spans="1:27" x14ac:dyDescent="0.3">
      <c r="A225" s="2">
        <v>45749</v>
      </c>
      <c r="B225" t="s">
        <v>39</v>
      </c>
      <c r="C225" t="s">
        <v>132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68</v>
      </c>
      <c r="J225">
        <v>4217.1899999999996</v>
      </c>
      <c r="K225" t="s">
        <v>65</v>
      </c>
      <c r="L225" t="s">
        <v>25</v>
      </c>
      <c r="M225">
        <v>0</v>
      </c>
      <c r="N225" t="s">
        <v>501</v>
      </c>
      <c r="O225" t="s">
        <v>502</v>
      </c>
      <c r="P225">
        <v>23.25</v>
      </c>
      <c r="Q225" s="2">
        <v>45749</v>
      </c>
      <c r="R225" s="2">
        <v>45757</v>
      </c>
      <c r="S225" t="s">
        <v>44</v>
      </c>
      <c r="T225">
        <f t="shared" si="21"/>
        <v>4240.4399999999996</v>
      </c>
      <c r="U225">
        <f t="shared" si="22"/>
        <v>15</v>
      </c>
      <c r="V225">
        <f t="shared" si="23"/>
        <v>4961.3999999999996</v>
      </c>
      <c r="W225">
        <f t="shared" si="24"/>
        <v>744.21</v>
      </c>
      <c r="X225">
        <f t="shared" si="25"/>
        <v>8</v>
      </c>
      <c r="Y225" cm="1">
        <f t="array" ref="Y225">_xlfn.IFS(H225=0.1,1,H225=0.15,1,H225=0.05,1,H225=0,0)</f>
        <v>1</v>
      </c>
      <c r="Z225">
        <f t="shared" si="26"/>
        <v>12</v>
      </c>
      <c r="AA225">
        <f t="shared" si="27"/>
        <v>2025</v>
      </c>
    </row>
    <row r="226" spans="1:27" x14ac:dyDescent="0.3">
      <c r="A226" s="2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L226" t="s">
        <v>59</v>
      </c>
      <c r="M226">
        <v>0</v>
      </c>
      <c r="N226" t="s">
        <v>503</v>
      </c>
      <c r="O226" t="s">
        <v>504</v>
      </c>
      <c r="P226">
        <v>14.88</v>
      </c>
      <c r="Q226" s="2">
        <v>45820</v>
      </c>
      <c r="R226" s="2">
        <v>45826</v>
      </c>
      <c r="S226" t="s">
        <v>44</v>
      </c>
      <c r="T226">
        <f t="shared" si="21"/>
        <v>7645.7550000000001</v>
      </c>
      <c r="U226">
        <f t="shared" si="22"/>
        <v>10</v>
      </c>
      <c r="V226">
        <f t="shared" si="23"/>
        <v>8478.75</v>
      </c>
      <c r="W226">
        <f t="shared" si="24"/>
        <v>847.875</v>
      </c>
      <c r="X226">
        <f t="shared" si="25"/>
        <v>6</v>
      </c>
      <c r="Y226" cm="1">
        <f t="array" ref="Y226">_xlfn.IFS(H226=0.1,1,H226=0.15,1,H226=0.05,1,H226=0,0)</f>
        <v>1</v>
      </c>
      <c r="Z226">
        <f t="shared" si="26"/>
        <v>19</v>
      </c>
      <c r="AA226">
        <f t="shared" si="27"/>
        <v>2025</v>
      </c>
    </row>
    <row r="227" spans="1:27" x14ac:dyDescent="0.3">
      <c r="A227" s="2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62</v>
      </c>
      <c r="L227" t="s">
        <v>35</v>
      </c>
      <c r="M227">
        <v>1</v>
      </c>
      <c r="N227" t="s">
        <v>505</v>
      </c>
      <c r="O227" t="s">
        <v>506</v>
      </c>
      <c r="P227">
        <v>15.66</v>
      </c>
      <c r="Q227" s="2">
        <v>45059</v>
      </c>
      <c r="R227" s="2">
        <v>45063</v>
      </c>
      <c r="S227" t="s">
        <v>28</v>
      </c>
      <c r="T227">
        <f t="shared" si="21"/>
        <v>509.14150000000001</v>
      </c>
      <c r="U227">
        <f t="shared" si="22"/>
        <v>15</v>
      </c>
      <c r="V227">
        <f t="shared" si="23"/>
        <v>579.39</v>
      </c>
      <c r="W227">
        <f t="shared" si="24"/>
        <v>86.908500000000004</v>
      </c>
      <c r="X227">
        <f t="shared" si="25"/>
        <v>4</v>
      </c>
      <c r="Y227" cm="1">
        <f t="array" ref="Y227">_xlfn.IFS(H227=0.1,1,H227=0.15,1,H227=0.05,1,H227=0,0)</f>
        <v>1</v>
      </c>
      <c r="Z227">
        <f t="shared" si="26"/>
        <v>7</v>
      </c>
      <c r="AA227">
        <f t="shared" si="27"/>
        <v>2023</v>
      </c>
    </row>
    <row r="228" spans="1:27" x14ac:dyDescent="0.3">
      <c r="A228" s="2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65</v>
      </c>
      <c r="L228" t="s">
        <v>59</v>
      </c>
      <c r="M228">
        <v>0</v>
      </c>
      <c r="N228" t="s">
        <v>507</v>
      </c>
      <c r="O228" t="s">
        <v>508</v>
      </c>
      <c r="P228">
        <v>44.86</v>
      </c>
      <c r="Q228" s="2">
        <v>45010</v>
      </c>
      <c r="R228" s="2">
        <v>45013</v>
      </c>
      <c r="S228" t="s">
        <v>38</v>
      </c>
      <c r="T228">
        <f t="shared" si="21"/>
        <v>5822.82</v>
      </c>
      <c r="U228">
        <f t="shared" si="22"/>
        <v>0</v>
      </c>
      <c r="V228">
        <f t="shared" si="23"/>
        <v>5777.96</v>
      </c>
      <c r="W228">
        <f t="shared" si="24"/>
        <v>0</v>
      </c>
      <c r="X228">
        <f t="shared" si="25"/>
        <v>3</v>
      </c>
      <c r="Y228" cm="1">
        <f t="array" ref="Y228">_xlfn.IFS(H228=0.1,1,H228=0.15,1,H228=0.05,1,H228=0,0)</f>
        <v>0</v>
      </c>
      <c r="Z228">
        <f t="shared" si="26"/>
        <v>0</v>
      </c>
      <c r="AA228">
        <f t="shared" si="27"/>
        <v>2023</v>
      </c>
    </row>
    <row r="229" spans="1:27" x14ac:dyDescent="0.3">
      <c r="A229" s="2">
        <v>45618</v>
      </c>
      <c r="B229" t="s">
        <v>29</v>
      </c>
      <c r="C229" t="s">
        <v>132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62</v>
      </c>
      <c r="L229" t="s">
        <v>59</v>
      </c>
      <c r="M229">
        <v>1</v>
      </c>
      <c r="N229" t="s">
        <v>509</v>
      </c>
      <c r="O229" t="s">
        <v>510</v>
      </c>
      <c r="P229">
        <v>39.76</v>
      </c>
      <c r="Q229" s="2">
        <v>45618</v>
      </c>
      <c r="R229" s="2">
        <v>45621</v>
      </c>
      <c r="S229" t="s">
        <v>38</v>
      </c>
      <c r="T229">
        <f t="shared" si="21"/>
        <v>5924.5280000000002</v>
      </c>
      <c r="U229">
        <f t="shared" si="22"/>
        <v>15</v>
      </c>
      <c r="V229">
        <f t="shared" si="23"/>
        <v>6922.08</v>
      </c>
      <c r="W229">
        <f t="shared" si="24"/>
        <v>1038.3119999999999</v>
      </c>
      <c r="X229">
        <f t="shared" si="25"/>
        <v>3</v>
      </c>
      <c r="Y229" cm="1">
        <f t="array" ref="Y229">_xlfn.IFS(H229=0.1,1,H229=0.15,1,H229=0.05,1,H229=0,0)</f>
        <v>1</v>
      </c>
      <c r="Z229">
        <f t="shared" si="26"/>
        <v>19</v>
      </c>
      <c r="AA229">
        <f t="shared" si="27"/>
        <v>2024</v>
      </c>
    </row>
    <row r="230" spans="1:27" x14ac:dyDescent="0.3">
      <c r="A230" s="2">
        <v>45114</v>
      </c>
      <c r="B230" t="s">
        <v>19</v>
      </c>
      <c r="C230" t="s">
        <v>81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511</v>
      </c>
      <c r="O230" t="s">
        <v>512</v>
      </c>
      <c r="P230">
        <v>46.25</v>
      </c>
      <c r="Q230" s="2">
        <v>45114</v>
      </c>
      <c r="R230" s="2">
        <v>45124</v>
      </c>
      <c r="S230" t="s">
        <v>28</v>
      </c>
      <c r="T230">
        <f t="shared" si="21"/>
        <v>262.98</v>
      </c>
      <c r="U230">
        <f t="shared" si="22"/>
        <v>0</v>
      </c>
      <c r="V230">
        <f t="shared" si="23"/>
        <v>215.73</v>
      </c>
      <c r="W230">
        <f t="shared" si="24"/>
        <v>0</v>
      </c>
      <c r="X230">
        <f t="shared" si="25"/>
        <v>10</v>
      </c>
      <c r="Y230" cm="1">
        <f t="array" ref="Y230">_xlfn.IFS(H230=0.1,1,H230=0.15,1,H230=0.05,1,H230=0,0)</f>
        <v>0</v>
      </c>
      <c r="Z230">
        <f t="shared" si="26"/>
        <v>0</v>
      </c>
      <c r="AA230">
        <f t="shared" si="27"/>
        <v>2023</v>
      </c>
    </row>
    <row r="231" spans="1:27" x14ac:dyDescent="0.3">
      <c r="A231" s="2">
        <v>45570</v>
      </c>
      <c r="B231" t="s">
        <v>19</v>
      </c>
      <c r="C231" t="s">
        <v>81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L231" t="s">
        <v>59</v>
      </c>
      <c r="M231">
        <v>0</v>
      </c>
      <c r="N231" t="s">
        <v>513</v>
      </c>
      <c r="O231" t="s">
        <v>514</v>
      </c>
      <c r="P231">
        <v>25.22</v>
      </c>
      <c r="Q231" s="2">
        <v>45570</v>
      </c>
      <c r="R231" s="2">
        <v>45574</v>
      </c>
      <c r="S231" t="s">
        <v>28</v>
      </c>
      <c r="T231">
        <f t="shared" si="21"/>
        <v>10974.92</v>
      </c>
      <c r="U231">
        <f t="shared" si="22"/>
        <v>5</v>
      </c>
      <c r="V231">
        <f t="shared" si="23"/>
        <v>11526</v>
      </c>
      <c r="W231">
        <f t="shared" si="24"/>
        <v>576.29999999999927</v>
      </c>
      <c r="X231">
        <f t="shared" si="25"/>
        <v>4</v>
      </c>
      <c r="Y231" cm="1">
        <f t="array" ref="Y231">_xlfn.IFS(H231=0.1,1,H231=0.15,1,H231=0.05,1,H231=0,0)</f>
        <v>1</v>
      </c>
      <c r="Z231">
        <f t="shared" si="26"/>
        <v>20</v>
      </c>
      <c r="AA231">
        <f t="shared" si="27"/>
        <v>2024</v>
      </c>
    </row>
    <row r="232" spans="1:27" x14ac:dyDescent="0.3">
      <c r="A232" s="2">
        <v>45382</v>
      </c>
      <c r="B232" t="s">
        <v>71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844.19999999999993</v>
      </c>
      <c r="K232" t="s">
        <v>24</v>
      </c>
      <c r="L232" t="s">
        <v>41</v>
      </c>
      <c r="M232">
        <v>0</v>
      </c>
      <c r="N232" t="s">
        <v>515</v>
      </c>
      <c r="O232" t="s">
        <v>516</v>
      </c>
      <c r="P232">
        <v>43.8</v>
      </c>
      <c r="Q232" s="2">
        <v>45382</v>
      </c>
      <c r="R232" s="2">
        <v>45390</v>
      </c>
      <c r="S232" t="s">
        <v>74</v>
      </c>
      <c r="T232">
        <f t="shared" si="21"/>
        <v>887.99999999999989</v>
      </c>
      <c r="U232">
        <f t="shared" si="22"/>
        <v>0</v>
      </c>
      <c r="V232">
        <f t="shared" si="23"/>
        <v>844.19999999999993</v>
      </c>
      <c r="W232">
        <f t="shared" si="24"/>
        <v>0</v>
      </c>
      <c r="X232">
        <f t="shared" si="25"/>
        <v>8</v>
      </c>
      <c r="Y232" cm="1">
        <f t="array" ref="Y232">_xlfn.IFS(H232=0.1,1,H232=0.15,1,H232=0.05,1,H232=0,0)</f>
        <v>0</v>
      </c>
      <c r="Z232">
        <f t="shared" si="26"/>
        <v>0</v>
      </c>
      <c r="AA232">
        <f t="shared" si="27"/>
        <v>2024</v>
      </c>
    </row>
    <row r="233" spans="1:27" x14ac:dyDescent="0.3">
      <c r="A233" s="2">
        <v>45748</v>
      </c>
      <c r="B233" t="s">
        <v>71</v>
      </c>
      <c r="C233" t="s">
        <v>132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62</v>
      </c>
      <c r="L233" t="s">
        <v>35</v>
      </c>
      <c r="M233">
        <v>0</v>
      </c>
      <c r="N233" t="s">
        <v>517</v>
      </c>
      <c r="O233" t="s">
        <v>518</v>
      </c>
      <c r="P233">
        <v>34.07</v>
      </c>
      <c r="Q233" s="2">
        <v>45748</v>
      </c>
      <c r="R233" s="2">
        <v>45751</v>
      </c>
      <c r="S233" t="s">
        <v>74</v>
      </c>
      <c r="T233">
        <f t="shared" si="21"/>
        <v>765.11400000000003</v>
      </c>
      <c r="U233">
        <f t="shared" si="22"/>
        <v>5</v>
      </c>
      <c r="V233">
        <f t="shared" si="23"/>
        <v>769.52</v>
      </c>
      <c r="W233">
        <f t="shared" si="24"/>
        <v>38.475999999999999</v>
      </c>
      <c r="X233">
        <f t="shared" si="25"/>
        <v>3</v>
      </c>
      <c r="Y233" cm="1">
        <f t="array" ref="Y233">_xlfn.IFS(H233=0.1,1,H233=0.15,1,H233=0.05,1,H233=0,0)</f>
        <v>1</v>
      </c>
      <c r="Z233">
        <f t="shared" si="26"/>
        <v>8</v>
      </c>
      <c r="AA233">
        <f t="shared" si="27"/>
        <v>2025</v>
      </c>
    </row>
    <row r="234" spans="1:27" x14ac:dyDescent="0.3">
      <c r="A234" s="2">
        <v>45161</v>
      </c>
      <c r="B234" t="s">
        <v>71</v>
      </c>
      <c r="C234" t="s">
        <v>132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519</v>
      </c>
      <c r="O234" t="s">
        <v>520</v>
      </c>
      <c r="P234">
        <v>26.38</v>
      </c>
      <c r="Q234" s="2">
        <v>45161</v>
      </c>
      <c r="R234" s="2">
        <v>45164</v>
      </c>
      <c r="S234" t="s">
        <v>74</v>
      </c>
      <c r="T234">
        <f t="shared" si="21"/>
        <v>6292.9409999999998</v>
      </c>
      <c r="U234">
        <f t="shared" si="22"/>
        <v>5</v>
      </c>
      <c r="V234">
        <f t="shared" si="23"/>
        <v>6596.38</v>
      </c>
      <c r="W234">
        <f t="shared" si="24"/>
        <v>329.81900000000041</v>
      </c>
      <c r="X234">
        <f t="shared" si="25"/>
        <v>3</v>
      </c>
      <c r="Y234" cm="1">
        <f t="array" ref="Y234">_xlfn.IFS(H234=0.1,1,H234=0.15,1,H234=0.05,1,H234=0,0)</f>
        <v>1</v>
      </c>
      <c r="Z234">
        <f t="shared" si="26"/>
        <v>14</v>
      </c>
      <c r="AA234">
        <f t="shared" si="27"/>
        <v>2023</v>
      </c>
    </row>
    <row r="235" spans="1:27" x14ac:dyDescent="0.3">
      <c r="A235" s="2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257.94000000000011</v>
      </c>
      <c r="K235" t="s">
        <v>62</v>
      </c>
      <c r="L235" t="s">
        <v>59</v>
      </c>
      <c r="M235">
        <v>0</v>
      </c>
      <c r="N235" t="s">
        <v>521</v>
      </c>
      <c r="O235" t="s">
        <v>522</v>
      </c>
      <c r="P235">
        <v>6.22</v>
      </c>
      <c r="Q235" s="2">
        <v>45518</v>
      </c>
      <c r="R235" s="2">
        <v>45525</v>
      </c>
      <c r="S235" t="s">
        <v>38</v>
      </c>
      <c r="T235">
        <f t="shared" si="21"/>
        <v>264.16000000000014</v>
      </c>
      <c r="U235">
        <f t="shared" si="22"/>
        <v>10</v>
      </c>
      <c r="V235">
        <f t="shared" si="23"/>
        <v>286.60000000000002</v>
      </c>
      <c r="W235">
        <f t="shared" si="24"/>
        <v>28.659999999999911</v>
      </c>
      <c r="X235">
        <f t="shared" si="25"/>
        <v>7</v>
      </c>
      <c r="Y235" cm="1">
        <f t="array" ref="Y235">_xlfn.IFS(H235=0.1,1,H235=0.15,1,H235=0.05,1,H235=0,0)</f>
        <v>1</v>
      </c>
      <c r="Z235">
        <f t="shared" si="26"/>
        <v>20</v>
      </c>
      <c r="AA235">
        <f t="shared" si="27"/>
        <v>2024</v>
      </c>
    </row>
    <row r="236" spans="1:27" x14ac:dyDescent="0.3">
      <c r="A236" s="2">
        <v>45702</v>
      </c>
      <c r="B236" t="s">
        <v>45</v>
      </c>
      <c r="C236" t="s">
        <v>81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7644.0329999999994</v>
      </c>
      <c r="K236" t="s">
        <v>62</v>
      </c>
      <c r="L236" t="s">
        <v>59</v>
      </c>
      <c r="M236">
        <v>0</v>
      </c>
      <c r="N236" t="s">
        <v>523</v>
      </c>
      <c r="O236" t="s">
        <v>524</v>
      </c>
      <c r="P236">
        <v>9.64</v>
      </c>
      <c r="Q236" s="2">
        <v>45702</v>
      </c>
      <c r="R236" s="2">
        <v>45707</v>
      </c>
      <c r="S236" t="s">
        <v>50</v>
      </c>
      <c r="T236">
        <f t="shared" si="21"/>
        <v>7653.6729999999998</v>
      </c>
      <c r="U236">
        <f t="shared" si="22"/>
        <v>15</v>
      </c>
      <c r="V236">
        <f t="shared" si="23"/>
        <v>8992.98</v>
      </c>
      <c r="W236">
        <f t="shared" si="24"/>
        <v>1348.9470000000001</v>
      </c>
      <c r="X236">
        <f t="shared" si="25"/>
        <v>5</v>
      </c>
      <c r="Y236" cm="1">
        <f t="array" ref="Y236">_xlfn.IFS(H236=0.1,1,H236=0.15,1,H236=0.05,1,H236=0,0)</f>
        <v>1</v>
      </c>
      <c r="Z236">
        <f t="shared" si="26"/>
        <v>18</v>
      </c>
      <c r="AA236">
        <f t="shared" si="27"/>
        <v>2025</v>
      </c>
    </row>
    <row r="237" spans="1:27" x14ac:dyDescent="0.3">
      <c r="A237" s="2">
        <v>45241</v>
      </c>
      <c r="B237" t="s">
        <v>71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62</v>
      </c>
      <c r="L237" t="s">
        <v>41</v>
      </c>
      <c r="M237">
        <v>0</v>
      </c>
      <c r="N237" t="s">
        <v>525</v>
      </c>
      <c r="O237" t="s">
        <v>526</v>
      </c>
      <c r="P237">
        <v>22.72</v>
      </c>
      <c r="Q237" s="2">
        <v>45241</v>
      </c>
      <c r="R237" s="2">
        <v>45246</v>
      </c>
      <c r="S237" t="s">
        <v>74</v>
      </c>
      <c r="T237">
        <f t="shared" si="21"/>
        <v>228.47800000000001</v>
      </c>
      <c r="U237">
        <f t="shared" si="22"/>
        <v>10</v>
      </c>
      <c r="V237">
        <f t="shared" si="23"/>
        <v>228.61999999999998</v>
      </c>
      <c r="W237">
        <f t="shared" si="24"/>
        <v>22.861999999999966</v>
      </c>
      <c r="X237">
        <f t="shared" si="25"/>
        <v>5</v>
      </c>
      <c r="Y237" cm="1">
        <f t="array" ref="Y237">_xlfn.IFS(H237=0.1,1,H237=0.15,1,H237=0.05,1,H237=0,0)</f>
        <v>1</v>
      </c>
      <c r="Z237">
        <f t="shared" si="26"/>
        <v>14</v>
      </c>
      <c r="AA237">
        <f t="shared" si="27"/>
        <v>2023</v>
      </c>
    </row>
    <row r="238" spans="1:27" x14ac:dyDescent="0.3">
      <c r="A238" s="2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527</v>
      </c>
      <c r="O238" t="s">
        <v>528</v>
      </c>
      <c r="P238">
        <v>37.090000000000003</v>
      </c>
      <c r="Q238" s="2">
        <v>45383</v>
      </c>
      <c r="R238" s="2">
        <v>45391</v>
      </c>
      <c r="S238" t="s">
        <v>50</v>
      </c>
      <c r="T238">
        <f t="shared" si="21"/>
        <v>6982.049</v>
      </c>
      <c r="U238">
        <f t="shared" si="22"/>
        <v>15</v>
      </c>
      <c r="V238">
        <f t="shared" si="23"/>
        <v>8170.54</v>
      </c>
      <c r="W238">
        <f t="shared" si="24"/>
        <v>1225.5810000000001</v>
      </c>
      <c r="X238">
        <f t="shared" si="25"/>
        <v>8</v>
      </c>
      <c r="Y238" cm="1">
        <f t="array" ref="Y238">_xlfn.IFS(H238=0.1,1,H238=0.15,1,H238=0.05,1,H238=0,0)</f>
        <v>1</v>
      </c>
      <c r="Z238">
        <f t="shared" si="26"/>
        <v>17</v>
      </c>
      <c r="AA238">
        <f t="shared" si="27"/>
        <v>2024</v>
      </c>
    </row>
    <row r="239" spans="1:27" x14ac:dyDescent="0.3">
      <c r="A239" s="2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L239" t="s">
        <v>59</v>
      </c>
      <c r="M239">
        <v>0</v>
      </c>
      <c r="N239" t="s">
        <v>529</v>
      </c>
      <c r="O239" t="s">
        <v>530</v>
      </c>
      <c r="P239">
        <v>29.4</v>
      </c>
      <c r="Q239" s="2">
        <v>45456</v>
      </c>
      <c r="R239" s="2">
        <v>45463</v>
      </c>
      <c r="S239" t="s">
        <v>38</v>
      </c>
      <c r="T239">
        <f t="shared" si="21"/>
        <v>2669.64</v>
      </c>
      <c r="U239">
        <f t="shared" si="22"/>
        <v>5</v>
      </c>
      <c r="V239">
        <f t="shared" si="23"/>
        <v>2779.2000000000003</v>
      </c>
      <c r="W239">
        <f t="shared" si="24"/>
        <v>138.96000000000049</v>
      </c>
      <c r="X239">
        <f t="shared" si="25"/>
        <v>7</v>
      </c>
      <c r="Y239" cm="1">
        <f t="array" ref="Y239">_xlfn.IFS(H239=0.1,1,H239=0.15,1,H239=0.05,1,H239=0,0)</f>
        <v>1</v>
      </c>
      <c r="Z239">
        <f t="shared" si="26"/>
        <v>5</v>
      </c>
      <c r="AA239">
        <f t="shared" si="27"/>
        <v>2024</v>
      </c>
    </row>
    <row r="240" spans="1:27" x14ac:dyDescent="0.3">
      <c r="A240" s="2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531</v>
      </c>
      <c r="O240" t="s">
        <v>532</v>
      </c>
      <c r="P240">
        <v>32.19</v>
      </c>
      <c r="Q240" s="2">
        <v>45258</v>
      </c>
      <c r="R240" s="2">
        <v>45263</v>
      </c>
      <c r="S240" t="s">
        <v>44</v>
      </c>
      <c r="T240">
        <f t="shared" si="21"/>
        <v>2851.4760000000001</v>
      </c>
      <c r="U240">
        <f t="shared" si="22"/>
        <v>10</v>
      </c>
      <c r="V240">
        <f t="shared" si="23"/>
        <v>3132.54</v>
      </c>
      <c r="W240">
        <f t="shared" si="24"/>
        <v>313.25399999999991</v>
      </c>
      <c r="X240">
        <f t="shared" si="25"/>
        <v>5</v>
      </c>
      <c r="Y240" cm="1">
        <f t="array" ref="Y240">_xlfn.IFS(H240=0.1,1,H240=0.15,1,H240=0.05,1,H240=0,0)</f>
        <v>1</v>
      </c>
      <c r="Z240">
        <f t="shared" si="26"/>
        <v>18</v>
      </c>
      <c r="AA240">
        <f t="shared" si="27"/>
        <v>2023</v>
      </c>
    </row>
    <row r="241" spans="1:27" x14ac:dyDescent="0.3">
      <c r="A241" s="2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68</v>
      </c>
      <c r="J241">
        <v>2831.895</v>
      </c>
      <c r="K241" t="s">
        <v>62</v>
      </c>
      <c r="L241" t="s">
        <v>59</v>
      </c>
      <c r="M241">
        <v>1</v>
      </c>
      <c r="N241" t="s">
        <v>533</v>
      </c>
      <c r="O241" t="s">
        <v>534</v>
      </c>
      <c r="P241">
        <v>8.59</v>
      </c>
      <c r="Q241" s="2">
        <v>45607</v>
      </c>
      <c r="R241" s="2">
        <v>45612</v>
      </c>
      <c r="S241" t="s">
        <v>50</v>
      </c>
      <c r="T241">
        <f t="shared" si="21"/>
        <v>2841.4850000000001</v>
      </c>
      <c r="U241">
        <f t="shared" si="22"/>
        <v>10</v>
      </c>
      <c r="V241">
        <f t="shared" si="23"/>
        <v>3146.55</v>
      </c>
      <c r="W241">
        <f t="shared" si="24"/>
        <v>314.6550000000002</v>
      </c>
      <c r="X241">
        <f t="shared" si="25"/>
        <v>5</v>
      </c>
      <c r="Y241" cm="1">
        <f t="array" ref="Y241">_xlfn.IFS(H241=0.1,1,H241=0.15,1,H241=0.05,1,H241=0,0)</f>
        <v>1</v>
      </c>
      <c r="Z241">
        <f t="shared" si="26"/>
        <v>11</v>
      </c>
      <c r="AA241">
        <f t="shared" si="27"/>
        <v>2024</v>
      </c>
    </row>
    <row r="242" spans="1:27" x14ac:dyDescent="0.3">
      <c r="A242" s="2">
        <v>45600</v>
      </c>
      <c r="B242" t="s">
        <v>39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L242" t="s">
        <v>59</v>
      </c>
      <c r="M242">
        <v>0</v>
      </c>
      <c r="N242" t="s">
        <v>535</v>
      </c>
      <c r="O242" t="s">
        <v>536</v>
      </c>
      <c r="P242">
        <v>24.72</v>
      </c>
      <c r="Q242" s="2">
        <v>45600</v>
      </c>
      <c r="R242" s="2">
        <v>45604</v>
      </c>
      <c r="S242" t="s">
        <v>44</v>
      </c>
      <c r="T242">
        <f t="shared" si="21"/>
        <v>676.4</v>
      </c>
      <c r="U242">
        <f t="shared" si="22"/>
        <v>0</v>
      </c>
      <c r="V242">
        <f t="shared" si="23"/>
        <v>651.67999999999995</v>
      </c>
      <c r="W242">
        <f t="shared" si="24"/>
        <v>0</v>
      </c>
      <c r="X242">
        <f t="shared" si="25"/>
        <v>4</v>
      </c>
      <c r="Y242" cm="1">
        <f t="array" ref="Y242">_xlfn.IFS(H242=0.1,1,H242=0.15,1,H242=0.05,1,H242=0,0)</f>
        <v>0</v>
      </c>
      <c r="Z242">
        <f t="shared" si="26"/>
        <v>0</v>
      </c>
      <c r="AA242">
        <f t="shared" si="27"/>
        <v>2024</v>
      </c>
    </row>
    <row r="243" spans="1:27" x14ac:dyDescent="0.3">
      <c r="A243" s="2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62</v>
      </c>
      <c r="L243" t="s">
        <v>41</v>
      </c>
      <c r="M243">
        <v>0</v>
      </c>
      <c r="N243" t="s">
        <v>537</v>
      </c>
      <c r="O243" t="s">
        <v>538</v>
      </c>
      <c r="P243">
        <v>19.920000000000002</v>
      </c>
      <c r="Q243" s="2">
        <v>44927</v>
      </c>
      <c r="R243" s="2">
        <v>44937</v>
      </c>
      <c r="S243" t="s">
        <v>50</v>
      </c>
      <c r="T243">
        <f t="shared" si="21"/>
        <v>5170.34</v>
      </c>
      <c r="U243">
        <f t="shared" si="22"/>
        <v>0</v>
      </c>
      <c r="V243">
        <f t="shared" si="23"/>
        <v>5150.42</v>
      </c>
      <c r="W243">
        <f t="shared" si="24"/>
        <v>0</v>
      </c>
      <c r="X243">
        <f t="shared" si="25"/>
        <v>10</v>
      </c>
      <c r="Y243" cm="1">
        <f t="array" ref="Y243">_xlfn.IFS(H243=0.1,1,H243=0.15,1,H243=0.05,1,H243=0,0)</f>
        <v>0</v>
      </c>
      <c r="Z243">
        <f t="shared" si="26"/>
        <v>0</v>
      </c>
      <c r="AA243">
        <f t="shared" si="27"/>
        <v>2023</v>
      </c>
    </row>
    <row r="244" spans="1:27" x14ac:dyDescent="0.3">
      <c r="A244" s="2">
        <v>45675</v>
      </c>
      <c r="B244" t="s">
        <v>39</v>
      </c>
      <c r="C244" t="s">
        <v>81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539</v>
      </c>
      <c r="O244" t="s">
        <v>540</v>
      </c>
      <c r="P244">
        <v>7.46</v>
      </c>
      <c r="Q244" s="2">
        <v>45675</v>
      </c>
      <c r="R244" s="2">
        <v>45677</v>
      </c>
      <c r="S244" t="s">
        <v>44</v>
      </c>
      <c r="T244">
        <f t="shared" si="21"/>
        <v>377.846</v>
      </c>
      <c r="U244">
        <f t="shared" si="22"/>
        <v>10</v>
      </c>
      <c r="V244">
        <f t="shared" si="23"/>
        <v>411.54</v>
      </c>
      <c r="W244">
        <f t="shared" si="24"/>
        <v>41.153999999999996</v>
      </c>
      <c r="X244">
        <f t="shared" si="25"/>
        <v>2</v>
      </c>
      <c r="Y244" cm="1">
        <f t="array" ref="Y244">_xlfn.IFS(H244=0.1,1,H244=0.15,1,H244=0.05,1,H244=0,0)</f>
        <v>1</v>
      </c>
      <c r="Z244">
        <f t="shared" si="26"/>
        <v>1</v>
      </c>
      <c r="AA244">
        <f t="shared" si="27"/>
        <v>2025</v>
      </c>
    </row>
    <row r="245" spans="1:27" x14ac:dyDescent="0.3">
      <c r="A245" s="2">
        <v>45048</v>
      </c>
      <c r="B245" t="s">
        <v>45</v>
      </c>
      <c r="C245" t="s">
        <v>132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541</v>
      </c>
      <c r="O245" t="s">
        <v>542</v>
      </c>
      <c r="P245">
        <v>9.6</v>
      </c>
      <c r="Q245" s="2">
        <v>45048</v>
      </c>
      <c r="R245" s="2">
        <v>45056</v>
      </c>
      <c r="S245" t="s">
        <v>50</v>
      </c>
      <c r="T245">
        <f t="shared" si="21"/>
        <v>1666.9699999999998</v>
      </c>
      <c r="U245">
        <f t="shared" si="22"/>
        <v>5</v>
      </c>
      <c r="V245">
        <f t="shared" si="23"/>
        <v>1744.6</v>
      </c>
      <c r="W245">
        <f t="shared" si="24"/>
        <v>87.230000000000018</v>
      </c>
      <c r="X245">
        <f t="shared" si="25"/>
        <v>8</v>
      </c>
      <c r="Y245" cm="1">
        <f t="array" ref="Y245">_xlfn.IFS(H245=0.1,1,H245=0.15,1,H245=0.05,1,H245=0,0)</f>
        <v>1</v>
      </c>
      <c r="Z245">
        <f t="shared" si="26"/>
        <v>13</v>
      </c>
      <c r="AA245">
        <f t="shared" si="27"/>
        <v>2023</v>
      </c>
    </row>
    <row r="246" spans="1:27" x14ac:dyDescent="0.3">
      <c r="A246" s="2">
        <v>45804</v>
      </c>
      <c r="B246" t="s">
        <v>71</v>
      </c>
      <c r="C246" t="s">
        <v>132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L246" t="s">
        <v>59</v>
      </c>
      <c r="M246">
        <v>0</v>
      </c>
      <c r="N246" t="s">
        <v>543</v>
      </c>
      <c r="O246" t="s">
        <v>544</v>
      </c>
      <c r="P246">
        <v>42.74</v>
      </c>
      <c r="Q246" s="2">
        <v>45804</v>
      </c>
      <c r="R246" s="2">
        <v>45810</v>
      </c>
      <c r="S246" t="s">
        <v>74</v>
      </c>
      <c r="T246">
        <f t="shared" si="21"/>
        <v>3028.1949999999997</v>
      </c>
      <c r="U246">
        <f t="shared" si="22"/>
        <v>15</v>
      </c>
      <c r="V246">
        <f t="shared" si="23"/>
        <v>3512.3</v>
      </c>
      <c r="W246">
        <f t="shared" si="24"/>
        <v>526.84500000000025</v>
      </c>
      <c r="X246">
        <f t="shared" si="25"/>
        <v>6</v>
      </c>
      <c r="Y246" cm="1">
        <f t="array" ref="Y246">_xlfn.IFS(H246=0.1,1,H246=0.15,1,H246=0.05,1,H246=0,0)</f>
        <v>1</v>
      </c>
      <c r="Z246">
        <f t="shared" si="26"/>
        <v>10</v>
      </c>
      <c r="AA246">
        <f t="shared" si="27"/>
        <v>2025</v>
      </c>
    </row>
    <row r="247" spans="1:27" x14ac:dyDescent="0.3">
      <c r="A247" s="2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545</v>
      </c>
      <c r="O247" t="s">
        <v>546</v>
      </c>
      <c r="P247">
        <v>12.35</v>
      </c>
      <c r="Q247" s="2">
        <v>45653</v>
      </c>
      <c r="R247" s="2">
        <v>45662</v>
      </c>
      <c r="S247" t="s">
        <v>38</v>
      </c>
      <c r="T247">
        <f t="shared" si="21"/>
        <v>6957.7139999999999</v>
      </c>
      <c r="U247">
        <f t="shared" si="22"/>
        <v>10</v>
      </c>
      <c r="V247">
        <f t="shared" si="23"/>
        <v>7715.96</v>
      </c>
      <c r="W247">
        <f t="shared" si="24"/>
        <v>771.59600000000046</v>
      </c>
      <c r="X247">
        <f t="shared" si="25"/>
        <v>9</v>
      </c>
      <c r="Y247" cm="1">
        <f t="array" ref="Y247">_xlfn.IFS(H247=0.1,1,H247=0.15,1,H247=0.05,1,H247=0,0)</f>
        <v>1</v>
      </c>
      <c r="Z247">
        <f t="shared" si="26"/>
        <v>14</v>
      </c>
      <c r="AA247">
        <f t="shared" si="27"/>
        <v>2024</v>
      </c>
    </row>
    <row r="248" spans="1:27" x14ac:dyDescent="0.3">
      <c r="A248" s="2">
        <v>45734</v>
      </c>
      <c r="B248" t="s">
        <v>71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62</v>
      </c>
      <c r="L248" t="s">
        <v>59</v>
      </c>
      <c r="M248">
        <v>0</v>
      </c>
      <c r="N248" t="s">
        <v>547</v>
      </c>
      <c r="O248" t="s">
        <v>548</v>
      </c>
      <c r="P248">
        <v>14.74</v>
      </c>
      <c r="Q248" s="2">
        <v>45734</v>
      </c>
      <c r="R248" s="2">
        <v>45740</v>
      </c>
      <c r="S248" t="s">
        <v>74</v>
      </c>
      <c r="T248">
        <f t="shared" si="21"/>
        <v>250.774</v>
      </c>
      <c r="U248">
        <f t="shared" si="22"/>
        <v>10</v>
      </c>
      <c r="V248">
        <f t="shared" si="23"/>
        <v>262.26</v>
      </c>
      <c r="W248">
        <f t="shared" si="24"/>
        <v>26.225999999999999</v>
      </c>
      <c r="X248">
        <f t="shared" si="25"/>
        <v>6</v>
      </c>
      <c r="Y248" cm="1">
        <f t="array" ref="Y248">_xlfn.IFS(H248=0.1,1,H248=0.15,1,H248=0.05,1,H248=0,0)</f>
        <v>1</v>
      </c>
      <c r="Z248">
        <f t="shared" si="26"/>
        <v>2</v>
      </c>
      <c r="AA248">
        <f t="shared" si="27"/>
        <v>2025</v>
      </c>
    </row>
    <row r="249" spans="1:27" x14ac:dyDescent="0.3">
      <c r="A249" s="2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65</v>
      </c>
      <c r="L249" t="s">
        <v>35</v>
      </c>
      <c r="M249">
        <v>1</v>
      </c>
      <c r="N249" t="s">
        <v>549</v>
      </c>
      <c r="O249" t="s">
        <v>164</v>
      </c>
      <c r="P249">
        <v>28.92</v>
      </c>
      <c r="Q249" s="2">
        <v>45375</v>
      </c>
      <c r="R249" s="2">
        <v>45382</v>
      </c>
      <c r="S249" t="s">
        <v>28</v>
      </c>
      <c r="T249">
        <f t="shared" si="21"/>
        <v>3600.58</v>
      </c>
      <c r="U249">
        <f t="shared" si="22"/>
        <v>0</v>
      </c>
      <c r="V249">
        <f t="shared" si="23"/>
        <v>3570.66</v>
      </c>
      <c r="W249">
        <f t="shared" si="24"/>
        <v>0</v>
      </c>
      <c r="X249">
        <f t="shared" si="25"/>
        <v>7</v>
      </c>
      <c r="Y249" cm="1">
        <f t="array" ref="Y249">_xlfn.IFS(H249=0.1,1,H249=0.15,1,H249=0.05,1,H249=0,0)</f>
        <v>0</v>
      </c>
      <c r="Z249">
        <f t="shared" si="26"/>
        <v>0</v>
      </c>
      <c r="AA249">
        <f t="shared" si="27"/>
        <v>2024</v>
      </c>
    </row>
    <row r="250" spans="1:27" x14ac:dyDescent="0.3">
      <c r="A250" s="2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68</v>
      </c>
      <c r="J250">
        <v>2944.962</v>
      </c>
      <c r="K250" t="s">
        <v>24</v>
      </c>
      <c r="L250" t="s">
        <v>59</v>
      </c>
      <c r="M250">
        <v>1</v>
      </c>
      <c r="N250" t="s">
        <v>550</v>
      </c>
      <c r="O250" t="s">
        <v>346</v>
      </c>
      <c r="P250">
        <v>5.15</v>
      </c>
      <c r="Q250" s="2">
        <v>45652</v>
      </c>
      <c r="R250" s="2">
        <v>45660</v>
      </c>
      <c r="S250" t="s">
        <v>28</v>
      </c>
      <c r="T250">
        <f t="shared" si="21"/>
        <v>2951.1120000000001</v>
      </c>
      <c r="U250">
        <f t="shared" si="22"/>
        <v>5</v>
      </c>
      <c r="V250">
        <f t="shared" si="23"/>
        <v>3099.96</v>
      </c>
      <c r="W250">
        <f t="shared" si="24"/>
        <v>154.99800000000005</v>
      </c>
      <c r="X250">
        <f t="shared" si="25"/>
        <v>8</v>
      </c>
      <c r="Y250" cm="1">
        <f t="array" ref="Y250">_xlfn.IFS(H250=0.1,1,H250=0.15,1,H250=0.05,1,H250=0,0)</f>
        <v>1</v>
      </c>
      <c r="Z250">
        <f t="shared" si="26"/>
        <v>6</v>
      </c>
      <c r="AA250">
        <f t="shared" si="27"/>
        <v>2024</v>
      </c>
    </row>
    <row r="251" spans="1:27" x14ac:dyDescent="0.3">
      <c r="A251" s="2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551</v>
      </c>
      <c r="O251" t="s">
        <v>552</v>
      </c>
      <c r="P251">
        <v>24.39</v>
      </c>
      <c r="Q251" s="2">
        <v>44937</v>
      </c>
      <c r="R251" s="2">
        <v>44940</v>
      </c>
      <c r="S251" t="s">
        <v>44</v>
      </c>
      <c r="T251">
        <f t="shared" si="21"/>
        <v>1179.039</v>
      </c>
      <c r="U251">
        <f t="shared" si="22"/>
        <v>5</v>
      </c>
      <c r="V251">
        <f t="shared" si="23"/>
        <v>1215.42</v>
      </c>
      <c r="W251">
        <f t="shared" si="24"/>
        <v>60.771000000000186</v>
      </c>
      <c r="X251">
        <f t="shared" si="25"/>
        <v>3</v>
      </c>
      <c r="Y251" cm="1">
        <f t="array" ref="Y251">_xlfn.IFS(H251=0.1,1,H251=0.15,1,H251=0.05,1,H251=0,0)</f>
        <v>1</v>
      </c>
      <c r="Z251">
        <f t="shared" si="26"/>
        <v>6</v>
      </c>
      <c r="AA251">
        <f t="shared" si="27"/>
        <v>2023</v>
      </c>
    </row>
    <row r="252" spans="1:27" x14ac:dyDescent="0.3">
      <c r="A252" s="2">
        <v>45809</v>
      </c>
      <c r="B252" t="s">
        <v>29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65</v>
      </c>
      <c r="L252" t="s">
        <v>35</v>
      </c>
      <c r="M252">
        <v>0</v>
      </c>
      <c r="N252" t="s">
        <v>553</v>
      </c>
      <c r="O252" t="s">
        <v>554</v>
      </c>
      <c r="P252">
        <v>25.16</v>
      </c>
      <c r="Q252" s="2">
        <v>45809</v>
      </c>
      <c r="R252" s="2">
        <v>45818</v>
      </c>
      <c r="S252" t="s">
        <v>38</v>
      </c>
      <c r="T252">
        <f t="shared" si="21"/>
        <v>3408.2280000000001</v>
      </c>
      <c r="U252">
        <f t="shared" si="22"/>
        <v>15</v>
      </c>
      <c r="V252">
        <f t="shared" si="23"/>
        <v>3980.0800000000004</v>
      </c>
      <c r="W252">
        <f t="shared" si="24"/>
        <v>597.01200000000017</v>
      </c>
      <c r="X252">
        <f t="shared" si="25"/>
        <v>9</v>
      </c>
      <c r="Y252" cm="1">
        <f t="array" ref="Y252">_xlfn.IFS(H252=0.1,1,H252=0.15,1,H252=0.05,1,H252=0,0)</f>
        <v>1</v>
      </c>
      <c r="Z252">
        <f t="shared" si="26"/>
        <v>13</v>
      </c>
      <c r="AA252">
        <f t="shared" si="27"/>
        <v>2025</v>
      </c>
    </row>
    <row r="253" spans="1:27" x14ac:dyDescent="0.3">
      <c r="A253" s="2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4420.1190000000006</v>
      </c>
      <c r="K253" t="s">
        <v>58</v>
      </c>
      <c r="L253" t="s">
        <v>59</v>
      </c>
      <c r="M253">
        <v>1</v>
      </c>
      <c r="N253" t="s">
        <v>555</v>
      </c>
      <c r="O253" t="s">
        <v>556</v>
      </c>
      <c r="P253">
        <v>16.8</v>
      </c>
      <c r="Q253" s="2">
        <v>45561</v>
      </c>
      <c r="R253" s="2">
        <v>45566</v>
      </c>
      <c r="S253" t="s">
        <v>28</v>
      </c>
      <c r="T253">
        <f t="shared" si="21"/>
        <v>4437.9190000000008</v>
      </c>
      <c r="U253">
        <f t="shared" si="22"/>
        <v>15</v>
      </c>
      <c r="V253">
        <f t="shared" si="23"/>
        <v>5200.1400000000003</v>
      </c>
      <c r="W253">
        <f t="shared" si="24"/>
        <v>780.02099999999973</v>
      </c>
      <c r="X253">
        <f t="shared" si="25"/>
        <v>5</v>
      </c>
      <c r="Y253" cm="1">
        <f t="array" ref="Y253">_xlfn.IFS(H253=0.1,1,H253=0.15,1,H253=0.05,1,H253=0,0)</f>
        <v>1</v>
      </c>
      <c r="Z253">
        <f t="shared" si="26"/>
        <v>11</v>
      </c>
      <c r="AA253">
        <f t="shared" si="27"/>
        <v>2024</v>
      </c>
    </row>
    <row r="254" spans="1:27" x14ac:dyDescent="0.3">
      <c r="A254" s="2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L254" t="s">
        <v>59</v>
      </c>
      <c r="M254">
        <v>0</v>
      </c>
      <c r="N254" t="s">
        <v>557</v>
      </c>
      <c r="O254" t="s">
        <v>558</v>
      </c>
      <c r="P254">
        <v>43.17</v>
      </c>
      <c r="Q254" s="2">
        <v>45514</v>
      </c>
      <c r="R254" s="2">
        <v>45521</v>
      </c>
      <c r="S254" t="s">
        <v>28</v>
      </c>
      <c r="T254">
        <f t="shared" si="21"/>
        <v>6115.83</v>
      </c>
      <c r="U254">
        <f t="shared" si="22"/>
        <v>10</v>
      </c>
      <c r="V254">
        <f t="shared" si="23"/>
        <v>6747.4</v>
      </c>
      <c r="W254">
        <f t="shared" si="24"/>
        <v>674.73999999999978</v>
      </c>
      <c r="X254">
        <f t="shared" si="25"/>
        <v>7</v>
      </c>
      <c r="Y254" cm="1">
        <f t="array" ref="Y254">_xlfn.IFS(H254=0.1,1,H254=0.15,1,H254=0.05,1,H254=0,0)</f>
        <v>1</v>
      </c>
      <c r="Z254">
        <f t="shared" si="26"/>
        <v>20</v>
      </c>
      <c r="AA254">
        <f t="shared" si="27"/>
        <v>2024</v>
      </c>
    </row>
    <row r="255" spans="1:27" x14ac:dyDescent="0.3">
      <c r="A255" s="2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65</v>
      </c>
      <c r="L255" t="s">
        <v>59</v>
      </c>
      <c r="M255">
        <v>0</v>
      </c>
      <c r="N255" t="s">
        <v>559</v>
      </c>
      <c r="O255" t="s">
        <v>560</v>
      </c>
      <c r="P255">
        <v>17.64</v>
      </c>
      <c r="Q255" s="2">
        <v>45718</v>
      </c>
      <c r="R255" s="2">
        <v>45726</v>
      </c>
      <c r="S255" t="s">
        <v>38</v>
      </c>
      <c r="T255">
        <f t="shared" si="21"/>
        <v>387.43199999999996</v>
      </c>
      <c r="U255">
        <f t="shared" si="22"/>
        <v>10</v>
      </c>
      <c r="V255">
        <f t="shared" si="23"/>
        <v>410.88</v>
      </c>
      <c r="W255">
        <f t="shared" si="24"/>
        <v>41.088000000000022</v>
      </c>
      <c r="X255">
        <f t="shared" si="25"/>
        <v>8</v>
      </c>
      <c r="Y255" cm="1">
        <f t="array" ref="Y255">_xlfn.IFS(H255=0.1,1,H255=0.15,1,H255=0.05,1,H255=0,0)</f>
        <v>1</v>
      </c>
      <c r="Z255">
        <f t="shared" si="26"/>
        <v>12</v>
      </c>
      <c r="AA255">
        <f t="shared" si="27"/>
        <v>2025</v>
      </c>
    </row>
    <row r="256" spans="1:27" x14ac:dyDescent="0.3">
      <c r="A256" s="2">
        <v>44978</v>
      </c>
      <c r="B256" t="s">
        <v>19</v>
      </c>
      <c r="C256" t="s">
        <v>81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561</v>
      </c>
      <c r="O256" t="s">
        <v>562</v>
      </c>
      <c r="P256">
        <v>45.54</v>
      </c>
      <c r="Q256" s="2">
        <v>44978</v>
      </c>
      <c r="R256" s="2">
        <v>44987</v>
      </c>
      <c r="S256" t="s">
        <v>28</v>
      </c>
      <c r="T256">
        <f t="shared" si="21"/>
        <v>1953.74</v>
      </c>
      <c r="U256">
        <f t="shared" si="22"/>
        <v>0</v>
      </c>
      <c r="V256">
        <f t="shared" si="23"/>
        <v>1908.2</v>
      </c>
      <c r="W256">
        <f t="shared" si="24"/>
        <v>0</v>
      </c>
      <c r="X256">
        <f t="shared" si="25"/>
        <v>9</v>
      </c>
      <c r="Y256" cm="1">
        <f t="array" ref="Y256">_xlfn.IFS(H256=0.1,1,H256=0.15,1,H256=0.05,1,H256=0,0)</f>
        <v>0</v>
      </c>
      <c r="Z256">
        <f t="shared" si="26"/>
        <v>0</v>
      </c>
      <c r="AA256">
        <f t="shared" si="27"/>
        <v>2023</v>
      </c>
    </row>
    <row r="257" spans="1:27" x14ac:dyDescent="0.3">
      <c r="A257" s="2">
        <v>45616</v>
      </c>
      <c r="B257" t="s">
        <v>19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563</v>
      </c>
      <c r="O257" t="s">
        <v>564</v>
      </c>
      <c r="P257">
        <v>43.73</v>
      </c>
      <c r="Q257" s="2">
        <v>45616</v>
      </c>
      <c r="R257" s="2">
        <v>45623</v>
      </c>
      <c r="S257" t="s">
        <v>28</v>
      </c>
      <c r="T257">
        <f t="shared" si="21"/>
        <v>3421.31</v>
      </c>
      <c r="U257">
        <f t="shared" si="22"/>
        <v>0</v>
      </c>
      <c r="V257">
        <f t="shared" si="23"/>
        <v>3377.58</v>
      </c>
      <c r="W257">
        <f t="shared" si="24"/>
        <v>0</v>
      </c>
      <c r="X257">
        <f t="shared" si="25"/>
        <v>7</v>
      </c>
      <c r="Y257" cm="1">
        <f t="array" ref="Y257">_xlfn.IFS(H257=0.1,1,H257=0.15,1,H257=0.05,1,H257=0,0)</f>
        <v>0</v>
      </c>
      <c r="Z257">
        <f t="shared" si="26"/>
        <v>0</v>
      </c>
      <c r="AA257">
        <f t="shared" si="27"/>
        <v>2024</v>
      </c>
    </row>
    <row r="258" spans="1:27" x14ac:dyDescent="0.3">
      <c r="A258" s="2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62</v>
      </c>
      <c r="L258" t="s">
        <v>25</v>
      </c>
      <c r="M258">
        <v>1</v>
      </c>
      <c r="N258" t="s">
        <v>565</v>
      </c>
      <c r="O258" t="s">
        <v>566</v>
      </c>
      <c r="P258">
        <v>35.369999999999997</v>
      </c>
      <c r="Q258" s="2">
        <v>45164</v>
      </c>
      <c r="R258" s="2">
        <v>45167</v>
      </c>
      <c r="S258" t="s">
        <v>28</v>
      </c>
      <c r="T258">
        <f t="shared" si="21"/>
        <v>402.17</v>
      </c>
      <c r="U258">
        <f t="shared" si="22"/>
        <v>0</v>
      </c>
      <c r="V258">
        <f t="shared" si="23"/>
        <v>365.79999999999995</v>
      </c>
      <c r="W258">
        <f t="shared" si="24"/>
        <v>0</v>
      </c>
      <c r="X258">
        <f t="shared" si="25"/>
        <v>3</v>
      </c>
      <c r="Y258" cm="1">
        <f t="array" ref="Y258">_xlfn.IFS(H258=0.1,1,H258=0.15,1,H258=0.05,1,H258=0,0)</f>
        <v>0</v>
      </c>
      <c r="Z258">
        <f t="shared" si="26"/>
        <v>0</v>
      </c>
      <c r="AA258">
        <f t="shared" si="27"/>
        <v>2023</v>
      </c>
    </row>
    <row r="259" spans="1:27" x14ac:dyDescent="0.3">
      <c r="A259" s="2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65</v>
      </c>
      <c r="L259" t="s">
        <v>25</v>
      </c>
      <c r="M259">
        <v>0</v>
      </c>
      <c r="N259" t="s">
        <v>567</v>
      </c>
      <c r="O259" t="s">
        <v>568</v>
      </c>
      <c r="P259">
        <v>20.64</v>
      </c>
      <c r="Q259" s="2">
        <v>45292</v>
      </c>
      <c r="R259" s="2">
        <v>45299</v>
      </c>
      <c r="S259" t="s">
        <v>38</v>
      </c>
      <c r="T259">
        <f t="shared" ref="T259:T322" si="28">SUM(J259:P259)</f>
        <v>1482.66</v>
      </c>
      <c r="U259">
        <f t="shared" ref="U259:U322" si="29">PRODUCT(100,H259)</f>
        <v>0</v>
      </c>
      <c r="V259">
        <f t="shared" ref="V259:V322" si="30">PRODUCT(D259:E259)</f>
        <v>1462.02</v>
      </c>
      <c r="W259">
        <f t="shared" ref="W259:W322" si="31" xml:space="preserve"> V259-J259</f>
        <v>0</v>
      </c>
      <c r="X259">
        <f t="shared" ref="X259:X322" si="32">R259-Q259</f>
        <v>7</v>
      </c>
      <c r="Y259" cm="1">
        <f t="array" ref="Y259">_xlfn.IFS(H259=0.1,1,H259=0.15,1,H259=0.05,1,H259=0,0)</f>
        <v>0</v>
      </c>
      <c r="Z259">
        <f t="shared" ref="Z259:Z322" si="33">PRODUCT(Y259,D259)</f>
        <v>0</v>
      </c>
      <c r="AA259">
        <f t="shared" ref="AA259:AA322" si="34">YEAR(A259)</f>
        <v>2024</v>
      </c>
    </row>
    <row r="260" spans="1:27" x14ac:dyDescent="0.3">
      <c r="A260" s="2">
        <v>45620</v>
      </c>
      <c r="B260" t="s">
        <v>29</v>
      </c>
      <c r="C260" t="s">
        <v>132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65</v>
      </c>
      <c r="L260" t="s">
        <v>41</v>
      </c>
      <c r="M260">
        <v>0</v>
      </c>
      <c r="N260" t="s">
        <v>569</v>
      </c>
      <c r="O260" t="s">
        <v>570</v>
      </c>
      <c r="P260">
        <v>48.33</v>
      </c>
      <c r="Q260" s="2">
        <v>45620</v>
      </c>
      <c r="R260" s="2">
        <v>45626</v>
      </c>
      <c r="S260" t="s">
        <v>38</v>
      </c>
      <c r="T260">
        <f t="shared" si="28"/>
        <v>3814.4339999999997</v>
      </c>
      <c r="U260">
        <f t="shared" si="29"/>
        <v>5</v>
      </c>
      <c r="V260">
        <f t="shared" si="30"/>
        <v>3964.32</v>
      </c>
      <c r="W260">
        <f t="shared" si="31"/>
        <v>198.21600000000035</v>
      </c>
      <c r="X260">
        <f t="shared" si="32"/>
        <v>6</v>
      </c>
      <c r="Y260" cm="1">
        <f t="array" ref="Y260">_xlfn.IFS(H260=0.1,1,H260=0.15,1,H260=0.05,1,H260=0,0)</f>
        <v>1</v>
      </c>
      <c r="Z260">
        <f t="shared" si="33"/>
        <v>12</v>
      </c>
      <c r="AA260">
        <f t="shared" si="34"/>
        <v>2024</v>
      </c>
    </row>
    <row r="261" spans="1:27" x14ac:dyDescent="0.3">
      <c r="A261" s="2">
        <v>45529</v>
      </c>
      <c r="B261" t="s">
        <v>29</v>
      </c>
      <c r="C261" t="s">
        <v>81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65</v>
      </c>
      <c r="L261" t="s">
        <v>59</v>
      </c>
      <c r="M261">
        <v>0</v>
      </c>
      <c r="N261" t="s">
        <v>571</v>
      </c>
      <c r="O261" t="s">
        <v>572</v>
      </c>
      <c r="P261">
        <v>17.12</v>
      </c>
      <c r="Q261" s="2">
        <v>45529</v>
      </c>
      <c r="R261" s="2">
        <v>45536</v>
      </c>
      <c r="S261" t="s">
        <v>38</v>
      </c>
      <c r="T261">
        <f t="shared" si="28"/>
        <v>316.16700000000003</v>
      </c>
      <c r="U261">
        <f t="shared" si="29"/>
        <v>15</v>
      </c>
      <c r="V261">
        <f t="shared" si="30"/>
        <v>351.82</v>
      </c>
      <c r="W261">
        <f t="shared" si="31"/>
        <v>52.772999999999968</v>
      </c>
      <c r="X261">
        <f t="shared" si="32"/>
        <v>7</v>
      </c>
      <c r="Y261" cm="1">
        <f t="array" ref="Y261">_xlfn.IFS(H261=0.1,1,H261=0.15,1,H261=0.05,1,H261=0,0)</f>
        <v>1</v>
      </c>
      <c r="Z261">
        <f t="shared" si="33"/>
        <v>7</v>
      </c>
      <c r="AA261">
        <f t="shared" si="34"/>
        <v>2024</v>
      </c>
    </row>
    <row r="262" spans="1:27" x14ac:dyDescent="0.3">
      <c r="A262" s="2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573</v>
      </c>
      <c r="O262" t="s">
        <v>574</v>
      </c>
      <c r="P262">
        <v>34.64</v>
      </c>
      <c r="Q262" s="2">
        <v>45087</v>
      </c>
      <c r="R262" s="2">
        <v>45095</v>
      </c>
      <c r="S262" t="s">
        <v>38</v>
      </c>
      <c r="T262">
        <f t="shared" si="28"/>
        <v>671.44299999999998</v>
      </c>
      <c r="U262">
        <f t="shared" si="29"/>
        <v>15</v>
      </c>
      <c r="V262">
        <f t="shared" si="30"/>
        <v>749.18</v>
      </c>
      <c r="W262">
        <f t="shared" si="31"/>
        <v>112.37699999999995</v>
      </c>
      <c r="X262">
        <f t="shared" si="32"/>
        <v>8</v>
      </c>
      <c r="Y262" cm="1">
        <f t="array" ref="Y262">_xlfn.IFS(H262=0.1,1,H262=0.15,1,H262=0.05,1,H262=0,0)</f>
        <v>1</v>
      </c>
      <c r="Z262">
        <f t="shared" si="33"/>
        <v>2</v>
      </c>
      <c r="AA262">
        <f t="shared" si="34"/>
        <v>2023</v>
      </c>
    </row>
    <row r="263" spans="1:27" x14ac:dyDescent="0.3">
      <c r="A263" s="2">
        <v>45644</v>
      </c>
      <c r="B263" t="s">
        <v>39</v>
      </c>
      <c r="C263" t="s">
        <v>132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62</v>
      </c>
      <c r="L263" t="s">
        <v>59</v>
      </c>
      <c r="M263">
        <v>0</v>
      </c>
      <c r="N263" t="s">
        <v>575</v>
      </c>
      <c r="O263" t="s">
        <v>576</v>
      </c>
      <c r="P263">
        <v>15.64</v>
      </c>
      <c r="Q263" s="2">
        <v>45644</v>
      </c>
      <c r="R263" s="2">
        <v>45652</v>
      </c>
      <c r="S263" t="s">
        <v>44</v>
      </c>
      <c r="T263">
        <f t="shared" si="28"/>
        <v>2961.52</v>
      </c>
      <c r="U263">
        <f t="shared" si="29"/>
        <v>10</v>
      </c>
      <c r="V263">
        <f t="shared" si="30"/>
        <v>3273.2000000000003</v>
      </c>
      <c r="W263">
        <f t="shared" si="31"/>
        <v>327.32000000000016</v>
      </c>
      <c r="X263">
        <f t="shared" si="32"/>
        <v>8</v>
      </c>
      <c r="Y263" cm="1">
        <f t="array" ref="Y263">_xlfn.IFS(H263=0.1,1,H263=0.15,1,H263=0.05,1,H263=0,0)</f>
        <v>1</v>
      </c>
      <c r="Z263">
        <f t="shared" si="33"/>
        <v>7</v>
      </c>
      <c r="AA263">
        <f t="shared" si="34"/>
        <v>2024</v>
      </c>
    </row>
    <row r="264" spans="1:27" x14ac:dyDescent="0.3">
      <c r="A264" s="2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62</v>
      </c>
      <c r="L264" t="s">
        <v>25</v>
      </c>
      <c r="M264">
        <v>1</v>
      </c>
      <c r="N264" t="s">
        <v>577</v>
      </c>
      <c r="O264" t="s">
        <v>578</v>
      </c>
      <c r="P264">
        <v>6.15</v>
      </c>
      <c r="Q264" s="2">
        <v>45166</v>
      </c>
      <c r="R264" s="2">
        <v>45170</v>
      </c>
      <c r="S264" t="s">
        <v>28</v>
      </c>
      <c r="T264">
        <f t="shared" si="28"/>
        <v>1079.4340000000002</v>
      </c>
      <c r="U264">
        <f t="shared" si="29"/>
        <v>5</v>
      </c>
      <c r="V264">
        <f t="shared" si="30"/>
        <v>1128.72</v>
      </c>
      <c r="W264">
        <f t="shared" si="31"/>
        <v>56.435999999999922</v>
      </c>
      <c r="X264">
        <f t="shared" si="32"/>
        <v>4</v>
      </c>
      <c r="Y264" cm="1">
        <f t="array" ref="Y264">_xlfn.IFS(H264=0.1,1,H264=0.15,1,H264=0.05,1,H264=0,0)</f>
        <v>1</v>
      </c>
      <c r="Z264">
        <f t="shared" si="33"/>
        <v>3</v>
      </c>
      <c r="AA264">
        <f t="shared" si="34"/>
        <v>2023</v>
      </c>
    </row>
    <row r="265" spans="1:27" x14ac:dyDescent="0.3">
      <c r="A265" s="2">
        <v>44948</v>
      </c>
      <c r="B265" t="s">
        <v>71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62</v>
      </c>
      <c r="L265" t="s">
        <v>35</v>
      </c>
      <c r="M265">
        <v>0</v>
      </c>
      <c r="N265" t="s">
        <v>579</v>
      </c>
      <c r="O265" t="s">
        <v>580</v>
      </c>
      <c r="P265">
        <v>17.690000000000001</v>
      </c>
      <c r="Q265" s="2">
        <v>44948</v>
      </c>
      <c r="R265" s="2">
        <v>44957</v>
      </c>
      <c r="S265" t="s">
        <v>74</v>
      </c>
      <c r="T265">
        <f t="shared" si="28"/>
        <v>1844.06</v>
      </c>
      <c r="U265">
        <f t="shared" si="29"/>
        <v>0</v>
      </c>
      <c r="V265">
        <f t="shared" si="30"/>
        <v>1826.3700000000001</v>
      </c>
      <c r="W265">
        <f t="shared" si="31"/>
        <v>0</v>
      </c>
      <c r="X265">
        <f t="shared" si="32"/>
        <v>9</v>
      </c>
      <c r="Y265" cm="1">
        <f t="array" ref="Y265">_xlfn.IFS(H265=0.1,1,H265=0.15,1,H265=0.05,1,H265=0,0)</f>
        <v>0</v>
      </c>
      <c r="Z265">
        <f t="shared" si="33"/>
        <v>0</v>
      </c>
      <c r="AA265">
        <f t="shared" si="34"/>
        <v>2023</v>
      </c>
    </row>
    <row r="266" spans="1:27" x14ac:dyDescent="0.3">
      <c r="A266" s="2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62</v>
      </c>
      <c r="L266" t="s">
        <v>25</v>
      </c>
      <c r="M266">
        <v>0</v>
      </c>
      <c r="N266" t="s">
        <v>581</v>
      </c>
      <c r="O266" t="s">
        <v>582</v>
      </c>
      <c r="P266">
        <v>25.71</v>
      </c>
      <c r="Q266" s="2">
        <v>44964</v>
      </c>
      <c r="R266" s="2">
        <v>44971</v>
      </c>
      <c r="S266" t="s">
        <v>44</v>
      </c>
      <c r="T266">
        <f t="shared" si="28"/>
        <v>1316.8515</v>
      </c>
      <c r="U266">
        <f t="shared" si="29"/>
        <v>15</v>
      </c>
      <c r="V266">
        <f t="shared" si="30"/>
        <v>1518.99</v>
      </c>
      <c r="W266">
        <f t="shared" si="31"/>
        <v>227.84850000000006</v>
      </c>
      <c r="X266">
        <f t="shared" si="32"/>
        <v>7</v>
      </c>
      <c r="Y266" cm="1">
        <f t="array" ref="Y266">_xlfn.IFS(H266=0.1,1,H266=0.15,1,H266=0.05,1,H266=0,0)</f>
        <v>1</v>
      </c>
      <c r="Z266">
        <f t="shared" si="33"/>
        <v>3</v>
      </c>
      <c r="AA266">
        <f t="shared" si="34"/>
        <v>2023</v>
      </c>
    </row>
    <row r="267" spans="1:27" x14ac:dyDescent="0.3">
      <c r="A267" s="2">
        <v>45252</v>
      </c>
      <c r="B267" t="s">
        <v>29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583</v>
      </c>
      <c r="O267" t="s">
        <v>584</v>
      </c>
      <c r="P267">
        <v>48.51</v>
      </c>
      <c r="Q267" s="2">
        <v>45252</v>
      </c>
      <c r="R267" s="2">
        <v>45259</v>
      </c>
      <c r="S267" t="s">
        <v>38</v>
      </c>
      <c r="T267">
        <f t="shared" si="28"/>
        <v>1103.8579999999999</v>
      </c>
      <c r="U267">
        <f t="shared" si="29"/>
        <v>5</v>
      </c>
      <c r="V267">
        <f t="shared" si="30"/>
        <v>1109.8399999999999</v>
      </c>
      <c r="W267">
        <f t="shared" si="31"/>
        <v>55.491999999999962</v>
      </c>
      <c r="X267">
        <f t="shared" si="32"/>
        <v>7</v>
      </c>
      <c r="Y267" cm="1">
        <f t="array" ref="Y267">_xlfn.IFS(H267=0.1,1,H267=0.15,1,H267=0.05,1,H267=0,0)</f>
        <v>1</v>
      </c>
      <c r="Z267">
        <f t="shared" si="33"/>
        <v>8</v>
      </c>
      <c r="AA267">
        <f t="shared" si="34"/>
        <v>2023</v>
      </c>
    </row>
    <row r="268" spans="1:27" x14ac:dyDescent="0.3">
      <c r="A268" s="2">
        <v>44951</v>
      </c>
      <c r="B268" t="s">
        <v>71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686.10300000000007</v>
      </c>
      <c r="K268" t="s">
        <v>62</v>
      </c>
      <c r="L268" t="s">
        <v>25</v>
      </c>
      <c r="M268">
        <v>1</v>
      </c>
      <c r="N268" t="s">
        <v>585</v>
      </c>
      <c r="O268" t="s">
        <v>586</v>
      </c>
      <c r="P268">
        <v>33.5</v>
      </c>
      <c r="Q268" s="2">
        <v>44951</v>
      </c>
      <c r="R268" s="2">
        <v>44955</v>
      </c>
      <c r="S268" t="s">
        <v>74</v>
      </c>
      <c r="T268">
        <f t="shared" si="28"/>
        <v>720.60300000000007</v>
      </c>
      <c r="U268">
        <f t="shared" si="29"/>
        <v>15</v>
      </c>
      <c r="V268">
        <f t="shared" si="30"/>
        <v>807.18000000000006</v>
      </c>
      <c r="W268">
        <f t="shared" si="31"/>
        <v>121.077</v>
      </c>
      <c r="X268">
        <f t="shared" si="32"/>
        <v>4</v>
      </c>
      <c r="Y268" cm="1">
        <f t="array" ref="Y268">_xlfn.IFS(H268=0.1,1,H268=0.15,1,H268=0.05,1,H268=0,0)</f>
        <v>1</v>
      </c>
      <c r="Z268">
        <f t="shared" si="33"/>
        <v>6</v>
      </c>
      <c r="AA268">
        <f t="shared" si="34"/>
        <v>2023</v>
      </c>
    </row>
    <row r="269" spans="1:27" x14ac:dyDescent="0.3">
      <c r="A269" s="2">
        <v>45721</v>
      </c>
      <c r="B269" t="s">
        <v>29</v>
      </c>
      <c r="C269" t="s">
        <v>81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6428.9159999999993</v>
      </c>
      <c r="K269" t="s">
        <v>62</v>
      </c>
      <c r="L269" t="s">
        <v>35</v>
      </c>
      <c r="M269">
        <v>0</v>
      </c>
      <c r="N269" t="s">
        <v>587</v>
      </c>
      <c r="O269" t="s">
        <v>588</v>
      </c>
      <c r="P269">
        <v>26.78</v>
      </c>
      <c r="Q269" s="2">
        <v>45721</v>
      </c>
      <c r="R269" s="2">
        <v>45725</v>
      </c>
      <c r="S269" t="s">
        <v>38</v>
      </c>
      <c r="T269">
        <f t="shared" si="28"/>
        <v>6455.695999999999</v>
      </c>
      <c r="U269">
        <f t="shared" si="29"/>
        <v>5</v>
      </c>
      <c r="V269">
        <f t="shared" si="30"/>
        <v>6767.28</v>
      </c>
      <c r="W269">
        <f t="shared" si="31"/>
        <v>338.36400000000049</v>
      </c>
      <c r="X269">
        <f t="shared" si="32"/>
        <v>4</v>
      </c>
      <c r="Y269" cm="1">
        <f t="array" ref="Y269">_xlfn.IFS(H269=0.1,1,H269=0.15,1,H269=0.05,1,H269=0,0)</f>
        <v>1</v>
      </c>
      <c r="Z269">
        <f t="shared" si="33"/>
        <v>18</v>
      </c>
      <c r="AA269">
        <f t="shared" si="34"/>
        <v>2025</v>
      </c>
    </row>
    <row r="270" spans="1:27" x14ac:dyDescent="0.3">
      <c r="A270" s="2">
        <v>44959</v>
      </c>
      <c r="B270" t="s">
        <v>39</v>
      </c>
      <c r="C270" t="s">
        <v>132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68</v>
      </c>
      <c r="J270">
        <v>4846.2299999999996</v>
      </c>
      <c r="K270" t="s">
        <v>34</v>
      </c>
      <c r="L270" t="s">
        <v>41</v>
      </c>
      <c r="M270">
        <v>1</v>
      </c>
      <c r="N270" t="s">
        <v>589</v>
      </c>
      <c r="O270" t="s">
        <v>590</v>
      </c>
      <c r="P270">
        <v>17.25</v>
      </c>
      <c r="Q270" s="2">
        <v>44959</v>
      </c>
      <c r="R270" s="2">
        <v>44969</v>
      </c>
      <c r="S270" t="s">
        <v>44</v>
      </c>
      <c r="T270">
        <f t="shared" si="28"/>
        <v>4864.4799999999996</v>
      </c>
      <c r="U270">
        <f t="shared" si="29"/>
        <v>10</v>
      </c>
      <c r="V270">
        <f t="shared" si="30"/>
        <v>5384.7000000000007</v>
      </c>
      <c r="W270">
        <f t="shared" si="31"/>
        <v>538.47000000000116</v>
      </c>
      <c r="X270">
        <f t="shared" si="32"/>
        <v>10</v>
      </c>
      <c r="Y270" cm="1">
        <f t="array" ref="Y270">_xlfn.IFS(H270=0.1,1,H270=0.15,1,H270=0.05,1,H270=0,0)</f>
        <v>1</v>
      </c>
      <c r="Z270">
        <f t="shared" si="33"/>
        <v>10</v>
      </c>
      <c r="AA270">
        <f t="shared" si="34"/>
        <v>2023</v>
      </c>
    </row>
    <row r="271" spans="1:27" x14ac:dyDescent="0.3">
      <c r="A271" s="2">
        <v>45070</v>
      </c>
      <c r="B271" t="s">
        <v>39</v>
      </c>
      <c r="C271" t="s">
        <v>81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6823.4400000000014</v>
      </c>
      <c r="K271" t="s">
        <v>24</v>
      </c>
      <c r="L271" t="s">
        <v>35</v>
      </c>
      <c r="M271">
        <v>0</v>
      </c>
      <c r="N271" t="s">
        <v>591</v>
      </c>
      <c r="O271" t="s">
        <v>592</v>
      </c>
      <c r="P271">
        <v>37.5</v>
      </c>
      <c r="Q271" s="2">
        <v>45070</v>
      </c>
      <c r="R271" s="2">
        <v>45078</v>
      </c>
      <c r="S271" t="s">
        <v>44</v>
      </c>
      <c r="T271">
        <f t="shared" si="28"/>
        <v>6860.9400000000014</v>
      </c>
      <c r="U271">
        <f t="shared" si="29"/>
        <v>10</v>
      </c>
      <c r="V271">
        <f t="shared" si="30"/>
        <v>7581.6</v>
      </c>
      <c r="W271">
        <f t="shared" si="31"/>
        <v>758.15999999999894</v>
      </c>
      <c r="X271">
        <f t="shared" si="32"/>
        <v>8</v>
      </c>
      <c r="Y271" cm="1">
        <f t="array" ref="Y271">_xlfn.IFS(H271=0.1,1,H271=0.15,1,H271=0.05,1,H271=0,0)</f>
        <v>1</v>
      </c>
      <c r="Z271">
        <f t="shared" si="33"/>
        <v>15</v>
      </c>
      <c r="AA271">
        <f t="shared" si="34"/>
        <v>2023</v>
      </c>
    </row>
    <row r="272" spans="1:27" x14ac:dyDescent="0.3">
      <c r="A272" s="2">
        <v>45442</v>
      </c>
      <c r="B272" t="s">
        <v>29</v>
      </c>
      <c r="C272" t="s">
        <v>132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62</v>
      </c>
      <c r="L272" t="s">
        <v>35</v>
      </c>
      <c r="M272">
        <v>1</v>
      </c>
      <c r="N272" t="s">
        <v>593</v>
      </c>
      <c r="O272" t="s">
        <v>136</v>
      </c>
      <c r="P272">
        <v>17.989999999999998</v>
      </c>
      <c r="Q272" s="2">
        <v>45442</v>
      </c>
      <c r="R272" s="2">
        <v>45449</v>
      </c>
      <c r="S272" t="s">
        <v>38</v>
      </c>
      <c r="T272">
        <f t="shared" si="28"/>
        <v>1080.096</v>
      </c>
      <c r="U272">
        <f t="shared" si="29"/>
        <v>15</v>
      </c>
      <c r="V272">
        <f t="shared" si="30"/>
        <v>1248.3599999999999</v>
      </c>
      <c r="W272">
        <f t="shared" si="31"/>
        <v>187.25399999999991</v>
      </c>
      <c r="X272">
        <f t="shared" si="32"/>
        <v>7</v>
      </c>
      <c r="Y272" cm="1">
        <f t="array" ref="Y272">_xlfn.IFS(H272=0.1,1,H272=0.15,1,H272=0.05,1,H272=0,0)</f>
        <v>1</v>
      </c>
      <c r="Z272">
        <f t="shared" si="33"/>
        <v>4</v>
      </c>
      <c r="AA272">
        <f t="shared" si="34"/>
        <v>2024</v>
      </c>
    </row>
    <row r="273" spans="1:27" x14ac:dyDescent="0.3">
      <c r="A273" s="2">
        <v>45314</v>
      </c>
      <c r="B273" t="s">
        <v>71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L273" t="s">
        <v>59</v>
      </c>
      <c r="M273">
        <v>0</v>
      </c>
      <c r="N273" t="s">
        <v>594</v>
      </c>
      <c r="O273" t="s">
        <v>595</v>
      </c>
      <c r="P273">
        <v>31.22</v>
      </c>
      <c r="Q273" s="2">
        <v>45314</v>
      </c>
      <c r="R273" s="2">
        <v>45322</v>
      </c>
      <c r="S273" t="s">
        <v>74</v>
      </c>
      <c r="T273">
        <f t="shared" si="28"/>
        <v>7420.8650000000007</v>
      </c>
      <c r="U273">
        <f t="shared" si="29"/>
        <v>15</v>
      </c>
      <c r="V273">
        <f t="shared" si="30"/>
        <v>8693.7000000000007</v>
      </c>
      <c r="W273">
        <f t="shared" si="31"/>
        <v>1304.0550000000003</v>
      </c>
      <c r="X273">
        <f t="shared" si="32"/>
        <v>8</v>
      </c>
      <c r="Y273" cm="1">
        <f t="array" ref="Y273">_xlfn.IFS(H273=0.1,1,H273=0.15,1,H273=0.05,1,H273=0,0)</f>
        <v>1</v>
      </c>
      <c r="Z273">
        <f t="shared" si="33"/>
        <v>15</v>
      </c>
      <c r="AA273">
        <f t="shared" si="34"/>
        <v>2024</v>
      </c>
    </row>
    <row r="274" spans="1:27" x14ac:dyDescent="0.3">
      <c r="A274" s="2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68</v>
      </c>
      <c r="J274">
        <v>1848.155</v>
      </c>
      <c r="K274" t="s">
        <v>58</v>
      </c>
      <c r="L274" t="s">
        <v>25</v>
      </c>
      <c r="M274">
        <v>0</v>
      </c>
      <c r="N274" t="s">
        <v>596</v>
      </c>
      <c r="O274" t="s">
        <v>597</v>
      </c>
      <c r="P274">
        <v>33.14</v>
      </c>
      <c r="Q274" s="2">
        <v>44963</v>
      </c>
      <c r="R274" s="2">
        <v>44972</v>
      </c>
      <c r="S274" t="s">
        <v>44</v>
      </c>
      <c r="T274">
        <f t="shared" si="28"/>
        <v>1881.2950000000001</v>
      </c>
      <c r="U274">
        <f t="shared" si="29"/>
        <v>15</v>
      </c>
      <c r="V274">
        <f t="shared" si="30"/>
        <v>2174.3000000000002</v>
      </c>
      <c r="W274">
        <f t="shared" si="31"/>
        <v>326.14500000000021</v>
      </c>
      <c r="X274">
        <f t="shared" si="32"/>
        <v>9</v>
      </c>
      <c r="Y274" cm="1">
        <f t="array" ref="Y274">_xlfn.IFS(H274=0.1,1,H274=0.15,1,H274=0.05,1,H274=0,0)</f>
        <v>1</v>
      </c>
      <c r="Z274">
        <f t="shared" si="33"/>
        <v>10</v>
      </c>
      <c r="AA274">
        <f t="shared" si="34"/>
        <v>2023</v>
      </c>
    </row>
    <row r="275" spans="1:27" x14ac:dyDescent="0.3">
      <c r="A275" s="2">
        <v>45488</v>
      </c>
      <c r="B275" t="s">
        <v>71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598</v>
      </c>
      <c r="O275" t="s">
        <v>599</v>
      </c>
      <c r="P275">
        <v>24.48</v>
      </c>
      <c r="Q275" s="2">
        <v>45488</v>
      </c>
      <c r="R275" s="2">
        <v>45492</v>
      </c>
      <c r="S275" t="s">
        <v>74</v>
      </c>
      <c r="T275">
        <f t="shared" si="28"/>
        <v>6809.6174999999994</v>
      </c>
      <c r="U275">
        <f t="shared" si="29"/>
        <v>5</v>
      </c>
      <c r="V275">
        <f t="shared" si="30"/>
        <v>7142.25</v>
      </c>
      <c r="W275">
        <f t="shared" si="31"/>
        <v>357.11250000000018</v>
      </c>
      <c r="X275">
        <f t="shared" si="32"/>
        <v>4</v>
      </c>
      <c r="Y275" cm="1">
        <f t="array" ref="Y275">_xlfn.IFS(H275=0.1,1,H275=0.15,1,H275=0.05,1,H275=0,0)</f>
        <v>1</v>
      </c>
      <c r="Z275">
        <f t="shared" si="33"/>
        <v>15</v>
      </c>
      <c r="AA275">
        <f t="shared" si="34"/>
        <v>2024</v>
      </c>
    </row>
    <row r="276" spans="1:27" x14ac:dyDescent="0.3">
      <c r="A276" s="2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62</v>
      </c>
      <c r="L276" t="s">
        <v>41</v>
      </c>
      <c r="M276">
        <v>0</v>
      </c>
      <c r="N276" t="s">
        <v>600</v>
      </c>
      <c r="O276" t="s">
        <v>601</v>
      </c>
      <c r="P276">
        <v>22.42</v>
      </c>
      <c r="Q276" s="2">
        <v>45722</v>
      </c>
      <c r="R276" s="2">
        <v>45732</v>
      </c>
      <c r="S276" t="s">
        <v>28</v>
      </c>
      <c r="T276">
        <f t="shared" si="28"/>
        <v>423.05500000000001</v>
      </c>
      <c r="U276">
        <f t="shared" si="29"/>
        <v>10</v>
      </c>
      <c r="V276">
        <f t="shared" si="30"/>
        <v>445.15</v>
      </c>
      <c r="W276">
        <f t="shared" si="31"/>
        <v>44.514999999999986</v>
      </c>
      <c r="X276">
        <f t="shared" si="32"/>
        <v>10</v>
      </c>
      <c r="Y276" cm="1">
        <f t="array" ref="Y276">_xlfn.IFS(H276=0.1,1,H276=0.15,1,H276=0.05,1,H276=0,0)</f>
        <v>1</v>
      </c>
      <c r="Z276">
        <f t="shared" si="33"/>
        <v>5</v>
      </c>
      <c r="AA276">
        <f t="shared" si="34"/>
        <v>2025</v>
      </c>
    </row>
    <row r="277" spans="1:27" x14ac:dyDescent="0.3">
      <c r="A277" s="2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L277" t="s">
        <v>59</v>
      </c>
      <c r="M277">
        <v>0</v>
      </c>
      <c r="N277" t="s">
        <v>602</v>
      </c>
      <c r="O277" t="s">
        <v>603</v>
      </c>
      <c r="P277">
        <v>42.37</v>
      </c>
      <c r="Q277" s="2">
        <v>45136</v>
      </c>
      <c r="R277" s="2">
        <v>45146</v>
      </c>
      <c r="S277" t="s">
        <v>50</v>
      </c>
      <c r="T277">
        <f t="shared" si="28"/>
        <v>147.63399999999999</v>
      </c>
      <c r="U277">
        <f t="shared" si="29"/>
        <v>10</v>
      </c>
      <c r="V277">
        <f t="shared" si="30"/>
        <v>116.96</v>
      </c>
      <c r="W277">
        <f t="shared" si="31"/>
        <v>11.695999999999998</v>
      </c>
      <c r="X277">
        <f t="shared" si="32"/>
        <v>10</v>
      </c>
      <c r="Y277" cm="1">
        <f t="array" ref="Y277">_xlfn.IFS(H277=0.1,1,H277=0.15,1,H277=0.05,1,H277=0,0)</f>
        <v>1</v>
      </c>
      <c r="Z277">
        <f t="shared" si="33"/>
        <v>17</v>
      </c>
      <c r="AA277">
        <f t="shared" si="34"/>
        <v>2023</v>
      </c>
    </row>
    <row r="278" spans="1:27" x14ac:dyDescent="0.3">
      <c r="A278" s="2">
        <v>45133</v>
      </c>
      <c r="B278" t="s">
        <v>39</v>
      </c>
      <c r="C278" t="s">
        <v>132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68</v>
      </c>
      <c r="J278">
        <v>1918.404</v>
      </c>
      <c r="K278" t="s">
        <v>24</v>
      </c>
      <c r="L278" t="s">
        <v>41</v>
      </c>
      <c r="M278">
        <v>0</v>
      </c>
      <c r="N278" t="s">
        <v>604</v>
      </c>
      <c r="O278" t="s">
        <v>605</v>
      </c>
      <c r="P278">
        <v>30.49</v>
      </c>
      <c r="Q278" s="2">
        <v>45133</v>
      </c>
      <c r="R278" s="2">
        <v>45136</v>
      </c>
      <c r="S278" t="s">
        <v>44</v>
      </c>
      <c r="T278">
        <f t="shared" si="28"/>
        <v>1948.894</v>
      </c>
      <c r="U278">
        <f t="shared" si="29"/>
        <v>10</v>
      </c>
      <c r="V278">
        <f t="shared" si="30"/>
        <v>2131.56</v>
      </c>
      <c r="W278">
        <f t="shared" si="31"/>
        <v>213.15599999999995</v>
      </c>
      <c r="X278">
        <f t="shared" si="32"/>
        <v>3</v>
      </c>
      <c r="Y278" cm="1">
        <f t="array" ref="Y278">_xlfn.IFS(H278=0.1,1,H278=0.15,1,H278=0.05,1,H278=0,0)</f>
        <v>1</v>
      </c>
      <c r="Z278">
        <f t="shared" si="33"/>
        <v>6</v>
      </c>
      <c r="AA278">
        <f t="shared" si="34"/>
        <v>2023</v>
      </c>
    </row>
    <row r="279" spans="1:27" x14ac:dyDescent="0.3">
      <c r="A279" s="2">
        <v>45392</v>
      </c>
      <c r="B279" t="s">
        <v>71</v>
      </c>
      <c r="C279" t="s">
        <v>81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606</v>
      </c>
      <c r="O279" t="s">
        <v>607</v>
      </c>
      <c r="P279">
        <v>36.04</v>
      </c>
      <c r="Q279" s="2">
        <v>45392</v>
      </c>
      <c r="R279" s="2">
        <v>45395</v>
      </c>
      <c r="S279" t="s">
        <v>74</v>
      </c>
      <c r="T279">
        <f t="shared" si="28"/>
        <v>2158.3119999999999</v>
      </c>
      <c r="U279">
        <f t="shared" si="29"/>
        <v>10</v>
      </c>
      <c r="V279">
        <f t="shared" si="30"/>
        <v>2358.08</v>
      </c>
      <c r="W279">
        <f t="shared" si="31"/>
        <v>235.80799999999999</v>
      </c>
      <c r="X279">
        <f t="shared" si="32"/>
        <v>3</v>
      </c>
      <c r="Y279" cm="1">
        <f t="array" ref="Y279">_xlfn.IFS(H279=0.1,1,H279=0.15,1,H279=0.05,1,H279=0,0)</f>
        <v>1</v>
      </c>
      <c r="Z279">
        <f t="shared" si="33"/>
        <v>8</v>
      </c>
      <c r="AA279">
        <f t="shared" si="34"/>
        <v>2024</v>
      </c>
    </row>
    <row r="280" spans="1:27" x14ac:dyDescent="0.3">
      <c r="A280" s="2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608</v>
      </c>
      <c r="O280" t="s">
        <v>609</v>
      </c>
      <c r="P280">
        <v>7.03</v>
      </c>
      <c r="Q280" s="2">
        <v>45681</v>
      </c>
      <c r="R280" s="2">
        <v>45684</v>
      </c>
      <c r="S280" t="s">
        <v>44</v>
      </c>
      <c r="T280">
        <f t="shared" si="28"/>
        <v>978.06999999999994</v>
      </c>
      <c r="U280">
        <f t="shared" si="29"/>
        <v>0</v>
      </c>
      <c r="V280">
        <f t="shared" si="30"/>
        <v>971.04</v>
      </c>
      <c r="W280">
        <f t="shared" si="31"/>
        <v>0</v>
      </c>
      <c r="X280">
        <f t="shared" si="32"/>
        <v>3</v>
      </c>
      <c r="Y280" cm="1">
        <f t="array" ref="Y280">_xlfn.IFS(H280=0.1,1,H280=0.15,1,H280=0.05,1,H280=0,0)</f>
        <v>0</v>
      </c>
      <c r="Z280">
        <f t="shared" si="33"/>
        <v>0</v>
      </c>
      <c r="AA280">
        <f t="shared" si="34"/>
        <v>2025</v>
      </c>
    </row>
    <row r="281" spans="1:27" x14ac:dyDescent="0.3">
      <c r="A281" s="2">
        <v>45774</v>
      </c>
      <c r="B281" t="s">
        <v>71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610</v>
      </c>
      <c r="O281" t="s">
        <v>611</v>
      </c>
      <c r="P281">
        <v>42.34</v>
      </c>
      <c r="Q281" s="2">
        <v>45774</v>
      </c>
      <c r="R281" s="2">
        <v>45780</v>
      </c>
      <c r="S281" t="s">
        <v>74</v>
      </c>
      <c r="T281">
        <f t="shared" si="28"/>
        <v>1050.674</v>
      </c>
      <c r="U281">
        <f t="shared" si="29"/>
        <v>10</v>
      </c>
      <c r="V281">
        <f t="shared" si="30"/>
        <v>1119.26</v>
      </c>
      <c r="W281">
        <f t="shared" si="31"/>
        <v>111.92600000000004</v>
      </c>
      <c r="X281">
        <f t="shared" si="32"/>
        <v>6</v>
      </c>
      <c r="Y281" cm="1">
        <f t="array" ref="Y281">_xlfn.IFS(H281=0.1,1,H281=0.15,1,H281=0.05,1,H281=0,0)</f>
        <v>1</v>
      </c>
      <c r="Z281">
        <f t="shared" si="33"/>
        <v>2</v>
      </c>
      <c r="AA281">
        <f t="shared" si="34"/>
        <v>2025</v>
      </c>
    </row>
    <row r="282" spans="1:27" x14ac:dyDescent="0.3">
      <c r="A282" s="2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612</v>
      </c>
      <c r="O282" t="s">
        <v>613</v>
      </c>
      <c r="P282">
        <v>11.88</v>
      </c>
      <c r="Q282" s="2">
        <v>45708</v>
      </c>
      <c r="R282" s="2">
        <v>45711</v>
      </c>
      <c r="S282" t="s">
        <v>28</v>
      </c>
      <c r="T282">
        <f t="shared" si="28"/>
        <v>849.45600000000002</v>
      </c>
      <c r="U282">
        <f t="shared" si="29"/>
        <v>10</v>
      </c>
      <c r="V282">
        <f t="shared" si="30"/>
        <v>930.64</v>
      </c>
      <c r="W282">
        <f t="shared" si="31"/>
        <v>93.063999999999965</v>
      </c>
      <c r="X282">
        <f t="shared" si="32"/>
        <v>3</v>
      </c>
      <c r="Y282" cm="1">
        <f t="array" ref="Y282">_xlfn.IFS(H282=0.1,1,H282=0.15,1,H282=0.05,1,H282=0,0)</f>
        <v>1</v>
      </c>
      <c r="Z282">
        <f t="shared" si="33"/>
        <v>4</v>
      </c>
      <c r="AA282">
        <f t="shared" si="34"/>
        <v>2025</v>
      </c>
    </row>
    <row r="283" spans="1:27" x14ac:dyDescent="0.3">
      <c r="A283" s="2">
        <v>45183</v>
      </c>
      <c r="B283" t="s">
        <v>39</v>
      </c>
      <c r="C283" t="s">
        <v>132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68</v>
      </c>
      <c r="J283">
        <v>1962.395</v>
      </c>
      <c r="K283" t="s">
        <v>62</v>
      </c>
      <c r="L283" t="s">
        <v>35</v>
      </c>
      <c r="M283">
        <v>0</v>
      </c>
      <c r="N283" t="s">
        <v>614</v>
      </c>
      <c r="O283" t="s">
        <v>504</v>
      </c>
      <c r="P283">
        <v>28.33</v>
      </c>
      <c r="Q283" s="2">
        <v>45183</v>
      </c>
      <c r="R283" s="2">
        <v>45188</v>
      </c>
      <c r="S283" t="s">
        <v>44</v>
      </c>
      <c r="T283">
        <f t="shared" si="28"/>
        <v>1990.7249999999999</v>
      </c>
      <c r="U283">
        <f t="shared" si="29"/>
        <v>15</v>
      </c>
      <c r="V283">
        <f t="shared" si="30"/>
        <v>2308.6999999999998</v>
      </c>
      <c r="W283">
        <f t="shared" si="31"/>
        <v>346.30499999999984</v>
      </c>
      <c r="X283">
        <f t="shared" si="32"/>
        <v>5</v>
      </c>
      <c r="Y283" cm="1">
        <f t="array" ref="Y283">_xlfn.IFS(H283=0.1,1,H283=0.15,1,H283=0.05,1,H283=0,0)</f>
        <v>1</v>
      </c>
      <c r="Z283">
        <f t="shared" si="33"/>
        <v>10</v>
      </c>
      <c r="AA283">
        <f t="shared" si="34"/>
        <v>2023</v>
      </c>
    </row>
    <row r="284" spans="1:27" x14ac:dyDescent="0.3">
      <c r="A284" s="2">
        <v>45399</v>
      </c>
      <c r="B284" t="s">
        <v>71</v>
      </c>
      <c r="C284" t="s">
        <v>81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62</v>
      </c>
      <c r="L284" t="s">
        <v>35</v>
      </c>
      <c r="M284">
        <v>1</v>
      </c>
      <c r="N284" t="s">
        <v>615</v>
      </c>
      <c r="O284" t="s">
        <v>616</v>
      </c>
      <c r="P284">
        <v>15.74</v>
      </c>
      <c r="Q284" s="2">
        <v>45399</v>
      </c>
      <c r="R284" s="2">
        <v>45409</v>
      </c>
      <c r="S284" t="s">
        <v>74</v>
      </c>
      <c r="T284">
        <f t="shared" si="28"/>
        <v>2122.4449999999997</v>
      </c>
      <c r="U284">
        <f t="shared" si="29"/>
        <v>15</v>
      </c>
      <c r="V284">
        <f t="shared" si="30"/>
        <v>2477.2999999999997</v>
      </c>
      <c r="W284">
        <f t="shared" si="31"/>
        <v>371.5949999999998</v>
      </c>
      <c r="X284">
        <f t="shared" si="32"/>
        <v>10</v>
      </c>
      <c r="Y284" cm="1">
        <f t="array" ref="Y284">_xlfn.IFS(H284=0.1,1,H284=0.15,1,H284=0.05,1,H284=0,0)</f>
        <v>1</v>
      </c>
      <c r="Z284">
        <f t="shared" si="33"/>
        <v>7</v>
      </c>
      <c r="AA284">
        <f t="shared" si="34"/>
        <v>2024</v>
      </c>
    </row>
    <row r="285" spans="1:27" x14ac:dyDescent="0.3">
      <c r="A285" s="2">
        <v>45610</v>
      </c>
      <c r="B285" t="s">
        <v>45</v>
      </c>
      <c r="C285" t="s">
        <v>81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L285" t="s">
        <v>59</v>
      </c>
      <c r="M285">
        <v>0</v>
      </c>
      <c r="N285" t="s">
        <v>617</v>
      </c>
      <c r="O285" t="s">
        <v>618</v>
      </c>
      <c r="P285">
        <v>35.020000000000003</v>
      </c>
      <c r="Q285" s="2">
        <v>45610</v>
      </c>
      <c r="R285" s="2">
        <v>45614</v>
      </c>
      <c r="S285" t="s">
        <v>50</v>
      </c>
      <c r="T285">
        <f t="shared" si="28"/>
        <v>6767.8600000000006</v>
      </c>
      <c r="U285">
        <f t="shared" si="29"/>
        <v>0</v>
      </c>
      <c r="V285">
        <f t="shared" si="30"/>
        <v>6732.84</v>
      </c>
      <c r="W285">
        <f t="shared" si="31"/>
        <v>0</v>
      </c>
      <c r="X285">
        <f t="shared" si="32"/>
        <v>4</v>
      </c>
      <c r="Y285" cm="1">
        <f t="array" ref="Y285">_xlfn.IFS(H285=0.1,1,H285=0.15,1,H285=0.05,1,H285=0,0)</f>
        <v>0</v>
      </c>
      <c r="Z285">
        <f t="shared" si="33"/>
        <v>0</v>
      </c>
      <c r="AA285">
        <f t="shared" si="34"/>
        <v>2024</v>
      </c>
    </row>
    <row r="286" spans="1:27" x14ac:dyDescent="0.3">
      <c r="A286" s="2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68</v>
      </c>
      <c r="J286">
        <v>3337.335</v>
      </c>
      <c r="K286" t="s">
        <v>34</v>
      </c>
      <c r="L286" t="s">
        <v>59</v>
      </c>
      <c r="M286">
        <v>0</v>
      </c>
      <c r="N286" t="s">
        <v>619</v>
      </c>
      <c r="O286" t="s">
        <v>620</v>
      </c>
      <c r="P286">
        <v>45.42</v>
      </c>
      <c r="Q286" s="2">
        <v>45498</v>
      </c>
      <c r="R286" s="2">
        <v>45500</v>
      </c>
      <c r="S286" t="s">
        <v>44</v>
      </c>
      <c r="T286">
        <f t="shared" si="28"/>
        <v>3382.7550000000001</v>
      </c>
      <c r="U286">
        <f t="shared" si="29"/>
        <v>10</v>
      </c>
      <c r="V286">
        <f t="shared" si="30"/>
        <v>3708.15</v>
      </c>
      <c r="W286">
        <f t="shared" si="31"/>
        <v>370.81500000000005</v>
      </c>
      <c r="X286">
        <f t="shared" si="32"/>
        <v>2</v>
      </c>
      <c r="Y286" cm="1">
        <f t="array" ref="Y286">_xlfn.IFS(H286=0.1,1,H286=0.15,1,H286=0.05,1,H286=0,0)</f>
        <v>1</v>
      </c>
      <c r="Z286">
        <f t="shared" si="33"/>
        <v>15</v>
      </c>
      <c r="AA286">
        <f t="shared" si="34"/>
        <v>2024</v>
      </c>
    </row>
    <row r="287" spans="1:27" x14ac:dyDescent="0.3">
      <c r="A287" s="2">
        <v>45509</v>
      </c>
      <c r="B287" t="s">
        <v>19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621</v>
      </c>
      <c r="O287" t="s">
        <v>622</v>
      </c>
      <c r="P287">
        <v>35.33</v>
      </c>
      <c r="Q287" s="2">
        <v>45509</v>
      </c>
      <c r="R287" s="2">
        <v>45519</v>
      </c>
      <c r="S287" t="s">
        <v>28</v>
      </c>
      <c r="T287">
        <f t="shared" si="28"/>
        <v>4673.192</v>
      </c>
      <c r="U287">
        <f t="shared" si="29"/>
        <v>10</v>
      </c>
      <c r="V287">
        <f t="shared" si="30"/>
        <v>5153.18</v>
      </c>
      <c r="W287">
        <f t="shared" si="31"/>
        <v>515.31800000000021</v>
      </c>
      <c r="X287">
        <f t="shared" si="32"/>
        <v>10</v>
      </c>
      <c r="Y287" cm="1">
        <f t="array" ref="Y287">_xlfn.IFS(H287=0.1,1,H287=0.15,1,H287=0.05,1,H287=0,0)</f>
        <v>1</v>
      </c>
      <c r="Z287">
        <f t="shared" si="33"/>
        <v>19</v>
      </c>
      <c r="AA287">
        <f t="shared" si="34"/>
        <v>2024</v>
      </c>
    </row>
    <row r="288" spans="1:27" x14ac:dyDescent="0.3">
      <c r="A288" s="2">
        <v>45680</v>
      </c>
      <c r="B288" t="s">
        <v>71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62</v>
      </c>
      <c r="L288" t="s">
        <v>59</v>
      </c>
      <c r="M288">
        <v>1</v>
      </c>
      <c r="N288" t="s">
        <v>623</v>
      </c>
      <c r="O288" t="s">
        <v>624</v>
      </c>
      <c r="P288">
        <v>25.09</v>
      </c>
      <c r="Q288" s="2">
        <v>45680</v>
      </c>
      <c r="R288" s="2">
        <v>45690</v>
      </c>
      <c r="S288" t="s">
        <v>74</v>
      </c>
      <c r="T288">
        <f t="shared" si="28"/>
        <v>3221.33</v>
      </c>
      <c r="U288">
        <f t="shared" si="29"/>
        <v>0</v>
      </c>
      <c r="V288">
        <f t="shared" si="30"/>
        <v>3195.24</v>
      </c>
      <c r="W288">
        <f t="shared" si="31"/>
        <v>0</v>
      </c>
      <c r="X288">
        <f t="shared" si="32"/>
        <v>10</v>
      </c>
      <c r="Y288" cm="1">
        <f t="array" ref="Y288">_xlfn.IFS(H288=0.1,1,H288=0.15,1,H288=0.05,1,H288=0,0)</f>
        <v>0</v>
      </c>
      <c r="Z288">
        <f t="shared" si="33"/>
        <v>0</v>
      </c>
      <c r="AA288">
        <f t="shared" si="34"/>
        <v>2025</v>
      </c>
    </row>
    <row r="289" spans="1:27" x14ac:dyDescent="0.3">
      <c r="A289" s="2">
        <v>45774</v>
      </c>
      <c r="B289" t="s">
        <v>71</v>
      </c>
      <c r="C289" t="s">
        <v>132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68</v>
      </c>
      <c r="J289">
        <v>4481.7440000000006</v>
      </c>
      <c r="K289" t="s">
        <v>62</v>
      </c>
      <c r="L289" t="s">
        <v>25</v>
      </c>
      <c r="M289">
        <v>1</v>
      </c>
      <c r="N289" t="s">
        <v>625</v>
      </c>
      <c r="O289" t="s">
        <v>626</v>
      </c>
      <c r="P289">
        <v>39.39</v>
      </c>
      <c r="Q289" s="2">
        <v>45774</v>
      </c>
      <c r="R289" s="2">
        <v>45780</v>
      </c>
      <c r="S289" t="s">
        <v>74</v>
      </c>
      <c r="T289">
        <f t="shared" si="28"/>
        <v>4522.1340000000009</v>
      </c>
      <c r="U289">
        <f t="shared" si="29"/>
        <v>15</v>
      </c>
      <c r="V289">
        <f t="shared" si="30"/>
        <v>5272.64</v>
      </c>
      <c r="W289">
        <f t="shared" si="31"/>
        <v>790.89599999999973</v>
      </c>
      <c r="X289">
        <f t="shared" si="32"/>
        <v>6</v>
      </c>
      <c r="Y289" cm="1">
        <f t="array" ref="Y289">_xlfn.IFS(H289=0.1,1,H289=0.15,1,H289=0.05,1,H289=0,0)</f>
        <v>1</v>
      </c>
      <c r="Z289">
        <f t="shared" si="33"/>
        <v>16</v>
      </c>
      <c r="AA289">
        <f t="shared" si="34"/>
        <v>2025</v>
      </c>
    </row>
    <row r="290" spans="1:27" x14ac:dyDescent="0.3">
      <c r="A290" s="2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627</v>
      </c>
      <c r="O290" t="s">
        <v>628</v>
      </c>
      <c r="P290">
        <v>38.61</v>
      </c>
      <c r="Q290" s="2">
        <v>45555</v>
      </c>
      <c r="R290" s="2">
        <v>45558</v>
      </c>
      <c r="S290" t="s">
        <v>38</v>
      </c>
      <c r="T290">
        <f t="shared" si="28"/>
        <v>1059.21</v>
      </c>
      <c r="U290">
        <f t="shared" si="29"/>
        <v>0</v>
      </c>
      <c r="V290">
        <f t="shared" si="30"/>
        <v>1020.5999999999999</v>
      </c>
      <c r="W290">
        <f t="shared" si="31"/>
        <v>0</v>
      </c>
      <c r="X290">
        <f t="shared" si="32"/>
        <v>3</v>
      </c>
      <c r="Y290" cm="1">
        <f t="array" ref="Y290">_xlfn.IFS(H290=0.1,1,H290=0.15,1,H290=0.05,1,H290=0,0)</f>
        <v>0</v>
      </c>
      <c r="Z290">
        <f t="shared" si="33"/>
        <v>0</v>
      </c>
      <c r="AA290">
        <f t="shared" si="34"/>
        <v>2024</v>
      </c>
    </row>
    <row r="291" spans="1:27" x14ac:dyDescent="0.3">
      <c r="A291" s="2">
        <v>45177</v>
      </c>
      <c r="B291" t="s">
        <v>71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629</v>
      </c>
      <c r="O291" t="s">
        <v>630</v>
      </c>
      <c r="P291">
        <v>42.88</v>
      </c>
      <c r="Q291" s="2">
        <v>45177</v>
      </c>
      <c r="R291" s="2">
        <v>45184</v>
      </c>
      <c r="S291" t="s">
        <v>74</v>
      </c>
      <c r="T291">
        <f t="shared" si="28"/>
        <v>3480.0844999999999</v>
      </c>
      <c r="U291">
        <f t="shared" si="29"/>
        <v>15</v>
      </c>
      <c r="V291">
        <f t="shared" si="30"/>
        <v>4043.7700000000004</v>
      </c>
      <c r="W291">
        <f t="shared" si="31"/>
        <v>606.56550000000061</v>
      </c>
      <c r="X291">
        <f t="shared" si="32"/>
        <v>7</v>
      </c>
      <c r="Y291" cm="1">
        <f t="array" ref="Y291">_xlfn.IFS(H291=0.1,1,H291=0.15,1,H291=0.05,1,H291=0,0)</f>
        <v>1</v>
      </c>
      <c r="Z291">
        <f t="shared" si="33"/>
        <v>19</v>
      </c>
      <c r="AA291">
        <f t="shared" si="34"/>
        <v>2023</v>
      </c>
    </row>
    <row r="292" spans="1:27" x14ac:dyDescent="0.3">
      <c r="A292" s="2">
        <v>45767</v>
      </c>
      <c r="B292" t="s">
        <v>29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68</v>
      </c>
      <c r="J292">
        <v>2894.6</v>
      </c>
      <c r="K292" t="s">
        <v>58</v>
      </c>
      <c r="L292" t="s">
        <v>59</v>
      </c>
      <c r="M292">
        <v>1</v>
      </c>
      <c r="N292" t="s">
        <v>631</v>
      </c>
      <c r="O292" t="s">
        <v>632</v>
      </c>
      <c r="P292">
        <v>44.09</v>
      </c>
      <c r="Q292" s="2">
        <v>45767</v>
      </c>
      <c r="R292" s="2">
        <v>45775</v>
      </c>
      <c r="S292" t="s">
        <v>38</v>
      </c>
      <c r="T292">
        <f t="shared" si="28"/>
        <v>2939.69</v>
      </c>
      <c r="U292">
        <f t="shared" si="29"/>
        <v>0</v>
      </c>
      <c r="V292">
        <f t="shared" si="30"/>
        <v>2894.6</v>
      </c>
      <c r="W292">
        <f t="shared" si="31"/>
        <v>0</v>
      </c>
      <c r="X292">
        <f t="shared" si="32"/>
        <v>8</v>
      </c>
      <c r="Y292" cm="1">
        <f t="array" ref="Y292">_xlfn.IFS(H292=0.1,1,H292=0.15,1,H292=0.05,1,H292=0,0)</f>
        <v>0</v>
      </c>
      <c r="Z292">
        <f t="shared" si="33"/>
        <v>0</v>
      </c>
      <c r="AA292">
        <f t="shared" si="34"/>
        <v>2025</v>
      </c>
    </row>
    <row r="293" spans="1:27" x14ac:dyDescent="0.3">
      <c r="A293" s="2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633</v>
      </c>
      <c r="O293" t="s">
        <v>634</v>
      </c>
      <c r="P293">
        <v>17.57</v>
      </c>
      <c r="Q293" s="2">
        <v>45463</v>
      </c>
      <c r="R293" s="2">
        <v>45470</v>
      </c>
      <c r="S293" t="s">
        <v>44</v>
      </c>
      <c r="T293">
        <f t="shared" si="28"/>
        <v>1251.2539999999999</v>
      </c>
      <c r="U293">
        <f t="shared" si="29"/>
        <v>10</v>
      </c>
      <c r="V293">
        <f t="shared" si="30"/>
        <v>1370.76</v>
      </c>
      <c r="W293">
        <f t="shared" si="31"/>
        <v>137.07600000000002</v>
      </c>
      <c r="X293">
        <f t="shared" si="32"/>
        <v>7</v>
      </c>
      <c r="Y293" cm="1">
        <f t="array" ref="Y293">_xlfn.IFS(H293=0.1,1,H293=0.15,1,H293=0.05,1,H293=0,0)</f>
        <v>1</v>
      </c>
      <c r="Z293">
        <f t="shared" si="33"/>
        <v>3</v>
      </c>
      <c r="AA293">
        <f t="shared" si="34"/>
        <v>2024</v>
      </c>
    </row>
    <row r="294" spans="1:27" x14ac:dyDescent="0.3">
      <c r="A294" s="2">
        <v>44937</v>
      </c>
      <c r="B294" t="s">
        <v>19</v>
      </c>
      <c r="C294" t="s">
        <v>81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635</v>
      </c>
      <c r="O294" t="s">
        <v>636</v>
      </c>
      <c r="P294">
        <v>49.59</v>
      </c>
      <c r="Q294" s="2">
        <v>44937</v>
      </c>
      <c r="R294" s="2">
        <v>44946</v>
      </c>
      <c r="S294" t="s">
        <v>28</v>
      </c>
      <c r="T294">
        <f t="shared" si="28"/>
        <v>6308.95</v>
      </c>
      <c r="U294">
        <f t="shared" si="29"/>
        <v>0</v>
      </c>
      <c r="V294">
        <f t="shared" si="30"/>
        <v>6258.36</v>
      </c>
      <c r="W294">
        <f t="shared" si="31"/>
        <v>0</v>
      </c>
      <c r="X294">
        <f t="shared" si="32"/>
        <v>9</v>
      </c>
      <c r="Y294" cm="1">
        <f t="array" ref="Y294">_xlfn.IFS(H294=0.1,1,H294=0.15,1,H294=0.05,1,H294=0,0)</f>
        <v>0</v>
      </c>
      <c r="Z294">
        <f t="shared" si="33"/>
        <v>0</v>
      </c>
      <c r="AA294">
        <f t="shared" si="34"/>
        <v>2023</v>
      </c>
    </row>
    <row r="295" spans="1:27" x14ac:dyDescent="0.3">
      <c r="A295" s="2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7561.2684999999992</v>
      </c>
      <c r="K295" t="s">
        <v>65</v>
      </c>
      <c r="L295" t="s">
        <v>59</v>
      </c>
      <c r="M295">
        <v>0</v>
      </c>
      <c r="N295" t="s">
        <v>637</v>
      </c>
      <c r="O295" t="s">
        <v>638</v>
      </c>
      <c r="P295">
        <v>13.84</v>
      </c>
      <c r="Q295" s="2">
        <v>45111</v>
      </c>
      <c r="R295" s="2">
        <v>45114</v>
      </c>
      <c r="S295" t="s">
        <v>44</v>
      </c>
      <c r="T295">
        <f t="shared" si="28"/>
        <v>7575.1084999999994</v>
      </c>
      <c r="U295">
        <f t="shared" si="29"/>
        <v>5</v>
      </c>
      <c r="V295">
        <f t="shared" si="30"/>
        <v>7959.23</v>
      </c>
      <c r="W295">
        <f t="shared" si="31"/>
        <v>397.96150000000034</v>
      </c>
      <c r="X295">
        <f t="shared" si="32"/>
        <v>3</v>
      </c>
      <c r="Y295" cm="1">
        <f t="array" ref="Y295">_xlfn.IFS(H295=0.1,1,H295=0.15,1,H295=0.05,1,H295=0,0)</f>
        <v>1</v>
      </c>
      <c r="Z295">
        <f t="shared" si="33"/>
        <v>17</v>
      </c>
      <c r="AA295">
        <f t="shared" si="34"/>
        <v>2023</v>
      </c>
    </row>
    <row r="296" spans="1:27" x14ac:dyDescent="0.3">
      <c r="A296" s="2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639</v>
      </c>
      <c r="O296" t="s">
        <v>640</v>
      </c>
      <c r="P296">
        <v>42.7</v>
      </c>
      <c r="Q296" s="2">
        <v>45724</v>
      </c>
      <c r="R296" s="2">
        <v>45734</v>
      </c>
      <c r="S296" t="s">
        <v>50</v>
      </c>
      <c r="T296">
        <f t="shared" si="28"/>
        <v>110.09650000000001</v>
      </c>
      <c r="U296">
        <f t="shared" si="29"/>
        <v>15</v>
      </c>
      <c r="V296">
        <f t="shared" si="30"/>
        <v>79.290000000000006</v>
      </c>
      <c r="W296">
        <f t="shared" si="31"/>
        <v>11.893500000000003</v>
      </c>
      <c r="X296">
        <f t="shared" si="32"/>
        <v>10</v>
      </c>
      <c r="Y296" cm="1">
        <f t="array" ref="Y296">_xlfn.IFS(H296=0.1,1,H296=0.15,1,H296=0.05,1,H296=0,0)</f>
        <v>1</v>
      </c>
      <c r="Z296">
        <f t="shared" si="33"/>
        <v>9</v>
      </c>
      <c r="AA296">
        <f t="shared" si="34"/>
        <v>2025</v>
      </c>
    </row>
    <row r="297" spans="1:27" x14ac:dyDescent="0.3">
      <c r="A297" s="2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65</v>
      </c>
      <c r="L297" t="s">
        <v>59</v>
      </c>
      <c r="M297">
        <v>0</v>
      </c>
      <c r="N297" t="s">
        <v>641</v>
      </c>
      <c r="O297" t="s">
        <v>642</v>
      </c>
      <c r="P297">
        <v>31.14</v>
      </c>
      <c r="Q297" s="2">
        <v>45698</v>
      </c>
      <c r="R297" s="2">
        <v>45700</v>
      </c>
      <c r="S297" t="s">
        <v>38</v>
      </c>
      <c r="T297">
        <f t="shared" si="28"/>
        <v>2688.75</v>
      </c>
      <c r="U297">
        <f t="shared" si="29"/>
        <v>15</v>
      </c>
      <c r="V297">
        <f t="shared" si="30"/>
        <v>3126.6000000000004</v>
      </c>
      <c r="W297">
        <f t="shared" si="31"/>
        <v>468.99000000000024</v>
      </c>
      <c r="X297">
        <f t="shared" si="32"/>
        <v>2</v>
      </c>
      <c r="Y297" cm="1">
        <f t="array" ref="Y297">_xlfn.IFS(H297=0.1,1,H297=0.15,1,H297=0.05,1,H297=0,0)</f>
        <v>1</v>
      </c>
      <c r="Z297">
        <f t="shared" si="33"/>
        <v>6</v>
      </c>
      <c r="AA297">
        <f t="shared" si="34"/>
        <v>2025</v>
      </c>
    </row>
    <row r="298" spans="1:27" x14ac:dyDescent="0.3">
      <c r="A298" s="2">
        <v>45733</v>
      </c>
      <c r="B298" t="s">
        <v>71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2609.190000000001</v>
      </c>
      <c r="K298" t="s">
        <v>65</v>
      </c>
      <c r="L298" t="s">
        <v>35</v>
      </c>
      <c r="M298">
        <v>0</v>
      </c>
      <c r="N298" t="s">
        <v>643</v>
      </c>
      <c r="O298" t="s">
        <v>644</v>
      </c>
      <c r="P298">
        <v>32.96</v>
      </c>
      <c r="Q298" s="2">
        <v>45733</v>
      </c>
      <c r="R298" s="2">
        <v>45737</v>
      </c>
      <c r="S298" t="s">
        <v>74</v>
      </c>
      <c r="T298">
        <f t="shared" si="28"/>
        <v>2642.150000000001</v>
      </c>
      <c r="U298">
        <f t="shared" si="29"/>
        <v>10</v>
      </c>
      <c r="V298">
        <f t="shared" si="30"/>
        <v>2899.1000000000004</v>
      </c>
      <c r="W298">
        <f t="shared" si="31"/>
        <v>289.9099999999994</v>
      </c>
      <c r="X298">
        <f t="shared" si="32"/>
        <v>4</v>
      </c>
      <c r="Y298" cm="1">
        <f t="array" ref="Y298">_xlfn.IFS(H298=0.1,1,H298=0.15,1,H298=0.05,1,H298=0,0)</f>
        <v>1</v>
      </c>
      <c r="Z298">
        <f t="shared" si="33"/>
        <v>10</v>
      </c>
      <c r="AA298">
        <f t="shared" si="34"/>
        <v>2025</v>
      </c>
    </row>
    <row r="299" spans="1:27" x14ac:dyDescent="0.3">
      <c r="A299" s="2">
        <v>45239</v>
      </c>
      <c r="B299" t="s">
        <v>19</v>
      </c>
      <c r="C299" t="s">
        <v>132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68</v>
      </c>
      <c r="J299">
        <v>405.46949999999998</v>
      </c>
      <c r="K299" t="s">
        <v>24</v>
      </c>
      <c r="L299" t="s">
        <v>35</v>
      </c>
      <c r="M299">
        <v>0</v>
      </c>
      <c r="N299" t="s">
        <v>645</v>
      </c>
      <c r="O299" t="s">
        <v>646</v>
      </c>
      <c r="P299">
        <v>32.799999999999997</v>
      </c>
      <c r="Q299" s="2">
        <v>45239</v>
      </c>
      <c r="R299" s="2">
        <v>45245</v>
      </c>
      <c r="S299" t="s">
        <v>28</v>
      </c>
      <c r="T299">
        <f t="shared" si="28"/>
        <v>438.26949999999999</v>
      </c>
      <c r="U299">
        <f t="shared" si="29"/>
        <v>5</v>
      </c>
      <c r="V299">
        <f t="shared" si="30"/>
        <v>426.81000000000006</v>
      </c>
      <c r="W299">
        <f t="shared" si="31"/>
        <v>21.340500000000077</v>
      </c>
      <c r="X299">
        <f t="shared" si="32"/>
        <v>6</v>
      </c>
      <c r="Y299" cm="1">
        <f t="array" ref="Y299">_xlfn.IFS(H299=0.1,1,H299=0.15,1,H299=0.05,1,H299=0,0)</f>
        <v>1</v>
      </c>
      <c r="Z299">
        <f t="shared" si="33"/>
        <v>3</v>
      </c>
      <c r="AA299">
        <f t="shared" si="34"/>
        <v>2023</v>
      </c>
    </row>
    <row r="300" spans="1:27" x14ac:dyDescent="0.3">
      <c r="A300" s="2">
        <v>45260</v>
      </c>
      <c r="B300" t="s">
        <v>45</v>
      </c>
      <c r="C300" t="s">
        <v>132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5045.7824999999993</v>
      </c>
      <c r="K300" t="s">
        <v>24</v>
      </c>
      <c r="L300" t="s">
        <v>59</v>
      </c>
      <c r="M300">
        <v>1</v>
      </c>
      <c r="N300" t="s">
        <v>647</v>
      </c>
      <c r="O300" t="s">
        <v>648</v>
      </c>
      <c r="P300">
        <v>25.3</v>
      </c>
      <c r="Q300" s="2">
        <v>45260</v>
      </c>
      <c r="R300" s="2">
        <v>45268</v>
      </c>
      <c r="S300" t="s">
        <v>50</v>
      </c>
      <c r="T300">
        <f t="shared" si="28"/>
        <v>5072.0824999999995</v>
      </c>
      <c r="U300">
        <f t="shared" si="29"/>
        <v>5</v>
      </c>
      <c r="V300">
        <f t="shared" si="30"/>
        <v>5311.3499999999995</v>
      </c>
      <c r="W300">
        <f t="shared" si="31"/>
        <v>265.56750000000011</v>
      </c>
      <c r="X300">
        <f t="shared" si="32"/>
        <v>8</v>
      </c>
      <c r="Y300" cm="1">
        <f t="array" ref="Y300">_xlfn.IFS(H300=0.1,1,H300=0.15,1,H300=0.05,1,H300=0,0)</f>
        <v>1</v>
      </c>
      <c r="Z300">
        <f t="shared" si="33"/>
        <v>15</v>
      </c>
      <c r="AA300">
        <f t="shared" si="34"/>
        <v>2023</v>
      </c>
    </row>
    <row r="301" spans="1:27" x14ac:dyDescent="0.3">
      <c r="A301" s="2">
        <v>45519</v>
      </c>
      <c r="B301" t="s">
        <v>29</v>
      </c>
      <c r="C301" t="s">
        <v>81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62</v>
      </c>
      <c r="L301" t="s">
        <v>25</v>
      </c>
      <c r="M301">
        <v>1</v>
      </c>
      <c r="N301" t="s">
        <v>649</v>
      </c>
      <c r="O301" t="s">
        <v>650</v>
      </c>
      <c r="P301">
        <v>21.11</v>
      </c>
      <c r="Q301" s="2">
        <v>45519</v>
      </c>
      <c r="R301" s="2">
        <v>45524</v>
      </c>
      <c r="S301" t="s">
        <v>38</v>
      </c>
      <c r="T301">
        <f t="shared" si="28"/>
        <v>7193.5099999999993</v>
      </c>
      <c r="U301">
        <f t="shared" si="29"/>
        <v>0</v>
      </c>
      <c r="V301">
        <f t="shared" si="30"/>
        <v>7171.4</v>
      </c>
      <c r="W301">
        <f t="shared" si="31"/>
        <v>0</v>
      </c>
      <c r="X301">
        <f t="shared" si="32"/>
        <v>5</v>
      </c>
      <c r="Y301" cm="1">
        <f t="array" ref="Y301">_xlfn.IFS(H301=0.1,1,H301=0.15,1,H301=0.05,1,H301=0,0)</f>
        <v>0</v>
      </c>
      <c r="Z301">
        <f t="shared" si="33"/>
        <v>0</v>
      </c>
      <c r="AA301">
        <f t="shared" si="34"/>
        <v>2024</v>
      </c>
    </row>
    <row r="302" spans="1:27" x14ac:dyDescent="0.3">
      <c r="A302" s="2">
        <v>45006</v>
      </c>
      <c r="B302" t="s">
        <v>71</v>
      </c>
      <c r="C302" t="s">
        <v>81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651</v>
      </c>
      <c r="O302" t="s">
        <v>652</v>
      </c>
      <c r="P302">
        <v>22.94</v>
      </c>
      <c r="Q302" s="2">
        <v>45006</v>
      </c>
      <c r="R302" s="2">
        <v>45011</v>
      </c>
      <c r="S302" t="s">
        <v>74</v>
      </c>
      <c r="T302">
        <f t="shared" si="28"/>
        <v>527.27600000000007</v>
      </c>
      <c r="U302">
        <f t="shared" si="29"/>
        <v>5</v>
      </c>
      <c r="V302">
        <f t="shared" si="30"/>
        <v>530.88</v>
      </c>
      <c r="W302">
        <f t="shared" si="31"/>
        <v>26.543999999999983</v>
      </c>
      <c r="X302">
        <f t="shared" si="32"/>
        <v>5</v>
      </c>
      <c r="Y302" cm="1">
        <f t="array" ref="Y302">_xlfn.IFS(H302=0.1,1,H302=0.15,1,H302=0.05,1,H302=0,0)</f>
        <v>1</v>
      </c>
      <c r="Z302">
        <f t="shared" si="33"/>
        <v>16</v>
      </c>
      <c r="AA302">
        <f t="shared" si="34"/>
        <v>2023</v>
      </c>
    </row>
    <row r="303" spans="1:27" x14ac:dyDescent="0.3">
      <c r="A303" s="2">
        <v>45225</v>
      </c>
      <c r="B303" t="s">
        <v>71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L303" t="s">
        <v>59</v>
      </c>
      <c r="M303">
        <v>0</v>
      </c>
      <c r="N303" t="s">
        <v>653</v>
      </c>
      <c r="O303" t="s">
        <v>654</v>
      </c>
      <c r="P303">
        <v>37.049999999999997</v>
      </c>
      <c r="Q303" s="2">
        <v>45225</v>
      </c>
      <c r="R303" s="2">
        <v>45230</v>
      </c>
      <c r="S303" t="s">
        <v>74</v>
      </c>
      <c r="T303">
        <f t="shared" si="28"/>
        <v>285.85000000000002</v>
      </c>
      <c r="U303">
        <f t="shared" si="29"/>
        <v>0</v>
      </c>
      <c r="V303">
        <f t="shared" si="30"/>
        <v>248.8</v>
      </c>
      <c r="W303">
        <f t="shared" si="31"/>
        <v>0</v>
      </c>
      <c r="X303">
        <f t="shared" si="32"/>
        <v>5</v>
      </c>
      <c r="Y303" cm="1">
        <f t="array" ref="Y303">_xlfn.IFS(H303=0.1,1,H303=0.15,1,H303=0.05,1,H303=0,0)</f>
        <v>0</v>
      </c>
      <c r="Z303">
        <f t="shared" si="33"/>
        <v>0</v>
      </c>
      <c r="AA303">
        <f t="shared" si="34"/>
        <v>2023</v>
      </c>
    </row>
    <row r="304" spans="1:27" x14ac:dyDescent="0.3">
      <c r="A304" s="2">
        <v>45233</v>
      </c>
      <c r="B304" t="s">
        <v>71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655</v>
      </c>
      <c r="O304" t="s">
        <v>656</v>
      </c>
      <c r="P304">
        <v>12.18</v>
      </c>
      <c r="Q304" s="2">
        <v>45233</v>
      </c>
      <c r="R304" s="2">
        <v>45241</v>
      </c>
      <c r="S304" t="s">
        <v>74</v>
      </c>
      <c r="T304">
        <f t="shared" si="28"/>
        <v>203.988</v>
      </c>
      <c r="U304">
        <f t="shared" si="29"/>
        <v>10</v>
      </c>
      <c r="V304">
        <f t="shared" si="30"/>
        <v>213.12</v>
      </c>
      <c r="W304">
        <f t="shared" si="31"/>
        <v>21.312000000000012</v>
      </c>
      <c r="X304">
        <f t="shared" si="32"/>
        <v>8</v>
      </c>
      <c r="Y304" cm="1">
        <f t="array" ref="Y304">_xlfn.IFS(H304=0.1,1,H304=0.15,1,H304=0.05,1,H304=0,0)</f>
        <v>1</v>
      </c>
      <c r="Z304">
        <f t="shared" si="33"/>
        <v>12</v>
      </c>
      <c r="AA304">
        <f t="shared" si="34"/>
        <v>2023</v>
      </c>
    </row>
    <row r="305" spans="1:27" x14ac:dyDescent="0.3">
      <c r="A305" s="2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657</v>
      </c>
      <c r="O305" t="s">
        <v>658</v>
      </c>
      <c r="P305">
        <v>13.43</v>
      </c>
      <c r="Q305" s="2">
        <v>45687</v>
      </c>
      <c r="R305" s="2">
        <v>45693</v>
      </c>
      <c r="S305" t="s">
        <v>44</v>
      </c>
      <c r="T305">
        <f t="shared" si="28"/>
        <v>4712.6379999999999</v>
      </c>
      <c r="U305">
        <f t="shared" si="29"/>
        <v>15</v>
      </c>
      <c r="V305">
        <f t="shared" si="30"/>
        <v>5528.48</v>
      </c>
      <c r="W305">
        <f t="shared" si="31"/>
        <v>829.27199999999993</v>
      </c>
      <c r="X305">
        <f t="shared" si="32"/>
        <v>6</v>
      </c>
      <c r="Y305" cm="1">
        <f t="array" ref="Y305">_xlfn.IFS(H305=0.1,1,H305=0.15,1,H305=0.05,1,H305=0,0)</f>
        <v>1</v>
      </c>
      <c r="Z305">
        <f t="shared" si="33"/>
        <v>16</v>
      </c>
      <c r="AA305">
        <f t="shared" si="34"/>
        <v>2025</v>
      </c>
    </row>
    <row r="306" spans="1:27" x14ac:dyDescent="0.3">
      <c r="A306" s="2">
        <v>45316</v>
      </c>
      <c r="B306" t="s">
        <v>71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5600.4779999999992</v>
      </c>
      <c r="K306" t="s">
        <v>34</v>
      </c>
      <c r="L306" t="s">
        <v>35</v>
      </c>
      <c r="M306">
        <v>0</v>
      </c>
      <c r="N306" t="s">
        <v>659</v>
      </c>
      <c r="O306" t="s">
        <v>660</v>
      </c>
      <c r="P306">
        <v>46.28</v>
      </c>
      <c r="Q306" s="2">
        <v>45316</v>
      </c>
      <c r="R306" s="2">
        <v>45325</v>
      </c>
      <c r="S306" t="s">
        <v>74</v>
      </c>
      <c r="T306">
        <f t="shared" si="28"/>
        <v>5646.7579999999989</v>
      </c>
      <c r="U306">
        <f t="shared" si="29"/>
        <v>5</v>
      </c>
      <c r="V306">
        <f t="shared" si="30"/>
        <v>5895.24</v>
      </c>
      <c r="W306">
        <f t="shared" si="31"/>
        <v>294.76200000000063</v>
      </c>
      <c r="X306">
        <f t="shared" si="32"/>
        <v>9</v>
      </c>
      <c r="Y306" cm="1">
        <f t="array" ref="Y306">_xlfn.IFS(H306=0.1,1,H306=0.15,1,H306=0.05,1,H306=0,0)</f>
        <v>1</v>
      </c>
      <c r="Z306">
        <f t="shared" si="33"/>
        <v>13</v>
      </c>
      <c r="AA306">
        <f t="shared" si="34"/>
        <v>2024</v>
      </c>
    </row>
    <row r="307" spans="1:27" x14ac:dyDescent="0.3">
      <c r="A307" s="2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661</v>
      </c>
      <c r="O307" t="s">
        <v>662</v>
      </c>
      <c r="P307">
        <v>35.020000000000003</v>
      </c>
      <c r="Q307" s="2">
        <v>45745</v>
      </c>
      <c r="R307" s="2">
        <v>45749</v>
      </c>
      <c r="S307" t="s">
        <v>38</v>
      </c>
      <c r="T307">
        <f t="shared" si="28"/>
        <v>2396.81</v>
      </c>
      <c r="U307">
        <f t="shared" si="29"/>
        <v>15</v>
      </c>
      <c r="V307">
        <f t="shared" si="30"/>
        <v>2777.4</v>
      </c>
      <c r="W307">
        <f t="shared" si="31"/>
        <v>416.61000000000013</v>
      </c>
      <c r="X307">
        <f t="shared" si="32"/>
        <v>4</v>
      </c>
      <c r="Y307" cm="1">
        <f t="array" ref="Y307">_xlfn.IFS(H307=0.1,1,H307=0.15,1,H307=0.05,1,H307=0,0)</f>
        <v>1</v>
      </c>
      <c r="Z307">
        <f t="shared" si="33"/>
        <v>10</v>
      </c>
      <c r="AA307">
        <f t="shared" si="34"/>
        <v>2025</v>
      </c>
    </row>
    <row r="308" spans="1:27" x14ac:dyDescent="0.3">
      <c r="A308" s="2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62</v>
      </c>
      <c r="L308" t="s">
        <v>41</v>
      </c>
      <c r="M308">
        <v>1</v>
      </c>
      <c r="N308" t="s">
        <v>663</v>
      </c>
      <c r="O308" t="s">
        <v>664</v>
      </c>
      <c r="P308">
        <v>44.69</v>
      </c>
      <c r="Q308" s="2">
        <v>45598</v>
      </c>
      <c r="R308" s="2">
        <v>45605</v>
      </c>
      <c r="S308" t="s">
        <v>50</v>
      </c>
      <c r="T308">
        <f t="shared" si="28"/>
        <v>1481.8500000000001</v>
      </c>
      <c r="U308">
        <f t="shared" si="29"/>
        <v>0</v>
      </c>
      <c r="V308">
        <f t="shared" si="30"/>
        <v>1436.16</v>
      </c>
      <c r="W308">
        <f t="shared" si="31"/>
        <v>0</v>
      </c>
      <c r="X308">
        <f t="shared" si="32"/>
        <v>7</v>
      </c>
      <c r="Y308" cm="1">
        <f t="array" ref="Y308">_xlfn.IFS(H308=0.1,1,H308=0.15,1,H308=0.05,1,H308=0,0)</f>
        <v>0</v>
      </c>
      <c r="Z308">
        <f t="shared" si="33"/>
        <v>0</v>
      </c>
      <c r="AA308">
        <f t="shared" si="34"/>
        <v>2024</v>
      </c>
    </row>
    <row r="309" spans="1:27" x14ac:dyDescent="0.3">
      <c r="A309" s="2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65</v>
      </c>
      <c r="L309" t="s">
        <v>59</v>
      </c>
      <c r="M309">
        <v>0</v>
      </c>
      <c r="N309" t="s">
        <v>665</v>
      </c>
      <c r="O309" t="s">
        <v>666</v>
      </c>
      <c r="P309">
        <v>35.96</v>
      </c>
      <c r="Q309" s="2">
        <v>45473</v>
      </c>
      <c r="R309" s="2">
        <v>45482</v>
      </c>
      <c r="S309" t="s">
        <v>50</v>
      </c>
      <c r="T309">
        <f t="shared" si="28"/>
        <v>5925.03</v>
      </c>
      <c r="U309">
        <f t="shared" si="29"/>
        <v>0</v>
      </c>
      <c r="V309">
        <f t="shared" si="30"/>
        <v>5889.07</v>
      </c>
      <c r="W309">
        <f t="shared" si="31"/>
        <v>0</v>
      </c>
      <c r="X309">
        <f t="shared" si="32"/>
        <v>9</v>
      </c>
      <c r="Y309" cm="1">
        <f t="array" ref="Y309">_xlfn.IFS(H309=0.1,1,H309=0.15,1,H309=0.05,1,H309=0,0)</f>
        <v>0</v>
      </c>
      <c r="Z309">
        <f t="shared" si="33"/>
        <v>0</v>
      </c>
      <c r="AA309">
        <f t="shared" si="34"/>
        <v>2024</v>
      </c>
    </row>
    <row r="310" spans="1:27" x14ac:dyDescent="0.3">
      <c r="A310" s="2">
        <v>44937</v>
      </c>
      <c r="B310" t="s">
        <v>29</v>
      </c>
      <c r="C310" t="s">
        <v>81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667</v>
      </c>
      <c r="O310" t="s">
        <v>668</v>
      </c>
      <c r="P310">
        <v>27.81</v>
      </c>
      <c r="Q310" s="2">
        <v>44937</v>
      </c>
      <c r="R310" s="2">
        <v>44945</v>
      </c>
      <c r="S310" t="s">
        <v>38</v>
      </c>
      <c r="T310">
        <f t="shared" si="28"/>
        <v>155.00799999999998</v>
      </c>
      <c r="U310">
        <f t="shared" si="29"/>
        <v>10</v>
      </c>
      <c r="V310">
        <f t="shared" si="30"/>
        <v>140.22</v>
      </c>
      <c r="W310">
        <f t="shared" si="31"/>
        <v>14.022000000000006</v>
      </c>
      <c r="X310">
        <f t="shared" si="32"/>
        <v>8</v>
      </c>
      <c r="Y310" cm="1">
        <f t="array" ref="Y310">_xlfn.IFS(H310=0.1,1,H310=0.15,1,H310=0.05,1,H310=0,0)</f>
        <v>1</v>
      </c>
      <c r="Z310">
        <f t="shared" si="33"/>
        <v>9</v>
      </c>
      <c r="AA310">
        <f t="shared" si="34"/>
        <v>2023</v>
      </c>
    </row>
    <row r="311" spans="1:27" x14ac:dyDescent="0.3">
      <c r="A311" s="2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65</v>
      </c>
      <c r="L311" t="s">
        <v>25</v>
      </c>
      <c r="M311">
        <v>0</v>
      </c>
      <c r="N311" t="s">
        <v>669</v>
      </c>
      <c r="O311" t="s">
        <v>670</v>
      </c>
      <c r="P311">
        <v>18.63</v>
      </c>
      <c r="Q311" s="2">
        <v>45813</v>
      </c>
      <c r="R311" s="2">
        <v>45822</v>
      </c>
      <c r="S311" t="s">
        <v>44</v>
      </c>
      <c r="T311">
        <f t="shared" si="28"/>
        <v>6083.6500000000005</v>
      </c>
      <c r="U311">
        <f t="shared" si="29"/>
        <v>0</v>
      </c>
      <c r="V311">
        <f t="shared" si="30"/>
        <v>6065.02</v>
      </c>
      <c r="W311">
        <f t="shared" si="31"/>
        <v>0</v>
      </c>
      <c r="X311">
        <f t="shared" si="32"/>
        <v>9</v>
      </c>
      <c r="Y311" cm="1">
        <f t="array" ref="Y311">_xlfn.IFS(H311=0.1,1,H311=0.15,1,H311=0.05,1,H311=0,0)</f>
        <v>0</v>
      </c>
      <c r="Z311">
        <f t="shared" si="33"/>
        <v>0</v>
      </c>
      <c r="AA311">
        <f t="shared" si="34"/>
        <v>2025</v>
      </c>
    </row>
    <row r="312" spans="1:27" x14ac:dyDescent="0.3">
      <c r="A312" s="2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671</v>
      </c>
      <c r="O312" t="s">
        <v>672</v>
      </c>
      <c r="P312">
        <v>18.77</v>
      </c>
      <c r="Q312" s="2">
        <v>45372</v>
      </c>
      <c r="R312" s="2">
        <v>45375</v>
      </c>
      <c r="S312" t="s">
        <v>44</v>
      </c>
      <c r="T312">
        <f t="shared" si="28"/>
        <v>8557.9700000000012</v>
      </c>
      <c r="U312">
        <f t="shared" si="29"/>
        <v>10</v>
      </c>
      <c r="V312">
        <f t="shared" si="30"/>
        <v>9488</v>
      </c>
      <c r="W312">
        <f t="shared" si="31"/>
        <v>948.79999999999927</v>
      </c>
      <c r="X312">
        <f t="shared" si="32"/>
        <v>3</v>
      </c>
      <c r="Y312" cm="1">
        <f t="array" ref="Y312">_xlfn.IFS(H312=0.1,1,H312=0.15,1,H312=0.05,1,H312=0,0)</f>
        <v>1</v>
      </c>
      <c r="Z312">
        <f t="shared" si="33"/>
        <v>16</v>
      </c>
      <c r="AA312">
        <f t="shared" si="34"/>
        <v>2024</v>
      </c>
    </row>
    <row r="313" spans="1:27" x14ac:dyDescent="0.3">
      <c r="A313" s="2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673</v>
      </c>
      <c r="O313" t="s">
        <v>674</v>
      </c>
      <c r="P313">
        <v>45.98</v>
      </c>
      <c r="Q313" s="2">
        <v>45169</v>
      </c>
      <c r="R313" s="2">
        <v>45177</v>
      </c>
      <c r="S313" t="s">
        <v>38</v>
      </c>
      <c r="T313">
        <f t="shared" si="28"/>
        <v>3279.9320000000002</v>
      </c>
      <c r="U313">
        <f t="shared" si="29"/>
        <v>5</v>
      </c>
      <c r="V313">
        <f t="shared" si="30"/>
        <v>3404.16</v>
      </c>
      <c r="W313">
        <f t="shared" si="31"/>
        <v>170.20799999999963</v>
      </c>
      <c r="X313">
        <f t="shared" si="32"/>
        <v>8</v>
      </c>
      <c r="Y313" cm="1">
        <f t="array" ref="Y313">_xlfn.IFS(H313=0.1,1,H313=0.15,1,H313=0.05,1,H313=0,0)</f>
        <v>1</v>
      </c>
      <c r="Z313">
        <f t="shared" si="33"/>
        <v>6</v>
      </c>
      <c r="AA313">
        <f t="shared" si="34"/>
        <v>2023</v>
      </c>
    </row>
    <row r="314" spans="1:27" x14ac:dyDescent="0.3">
      <c r="A314" s="2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62</v>
      </c>
      <c r="L314" t="s">
        <v>25</v>
      </c>
      <c r="M314">
        <v>0</v>
      </c>
      <c r="N314" t="s">
        <v>675</v>
      </c>
      <c r="O314" t="s">
        <v>676</v>
      </c>
      <c r="P314">
        <v>37.380000000000003</v>
      </c>
      <c r="Q314" s="2">
        <v>45572</v>
      </c>
      <c r="R314" s="2">
        <v>45582</v>
      </c>
      <c r="S314" t="s">
        <v>38</v>
      </c>
      <c r="T314">
        <f t="shared" si="28"/>
        <v>8484.4759999999987</v>
      </c>
      <c r="U314">
        <f t="shared" si="29"/>
        <v>5</v>
      </c>
      <c r="V314">
        <f t="shared" si="30"/>
        <v>8891.68</v>
      </c>
      <c r="W314">
        <f t="shared" si="31"/>
        <v>444.58400000000074</v>
      </c>
      <c r="X314">
        <f t="shared" si="32"/>
        <v>10</v>
      </c>
      <c r="Y314" cm="1">
        <f t="array" ref="Y314">_xlfn.IFS(H314=0.1,1,H314=0.15,1,H314=0.05,1,H314=0,0)</f>
        <v>1</v>
      </c>
      <c r="Z314">
        <f t="shared" si="33"/>
        <v>17</v>
      </c>
      <c r="AA314">
        <f t="shared" si="34"/>
        <v>2024</v>
      </c>
    </row>
    <row r="315" spans="1:27" x14ac:dyDescent="0.3">
      <c r="A315" s="2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6398.7999999999993</v>
      </c>
      <c r="K315" t="s">
        <v>62</v>
      </c>
      <c r="L315" t="s">
        <v>25</v>
      </c>
      <c r="M315">
        <v>0</v>
      </c>
      <c r="N315" t="s">
        <v>677</v>
      </c>
      <c r="O315" t="s">
        <v>678</v>
      </c>
      <c r="P315">
        <v>33.380000000000003</v>
      </c>
      <c r="Q315" s="2">
        <v>45028</v>
      </c>
      <c r="R315" s="2">
        <v>45031</v>
      </c>
      <c r="S315" t="s">
        <v>44</v>
      </c>
      <c r="T315">
        <f t="shared" si="28"/>
        <v>6432.1799999999994</v>
      </c>
      <c r="U315">
        <f t="shared" si="29"/>
        <v>0</v>
      </c>
      <c r="V315">
        <f t="shared" si="30"/>
        <v>6398.7999999999993</v>
      </c>
      <c r="W315">
        <f t="shared" si="31"/>
        <v>0</v>
      </c>
      <c r="X315">
        <f t="shared" si="32"/>
        <v>3</v>
      </c>
      <c r="Y315" cm="1">
        <f t="array" ref="Y315">_xlfn.IFS(H315=0.1,1,H315=0.15,1,H315=0.05,1,H315=0,0)</f>
        <v>0</v>
      </c>
      <c r="Z315">
        <f t="shared" si="33"/>
        <v>0</v>
      </c>
      <c r="AA315">
        <f t="shared" si="34"/>
        <v>2023</v>
      </c>
    </row>
    <row r="316" spans="1:27" x14ac:dyDescent="0.3">
      <c r="A316" s="2">
        <v>45236</v>
      </c>
      <c r="B316" t="s">
        <v>29</v>
      </c>
      <c r="C316" t="s">
        <v>132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679</v>
      </c>
      <c r="O316" t="s">
        <v>680</v>
      </c>
      <c r="P316">
        <v>48.55</v>
      </c>
      <c r="Q316" s="2">
        <v>45236</v>
      </c>
      <c r="R316" s="2">
        <v>45246</v>
      </c>
      <c r="S316" t="s">
        <v>38</v>
      </c>
      <c r="T316">
        <f t="shared" si="28"/>
        <v>453.10750000000002</v>
      </c>
      <c r="U316">
        <f t="shared" si="29"/>
        <v>15</v>
      </c>
      <c r="V316">
        <f t="shared" si="30"/>
        <v>475.95</v>
      </c>
      <c r="W316">
        <f t="shared" si="31"/>
        <v>71.392499999999984</v>
      </c>
      <c r="X316">
        <f t="shared" si="32"/>
        <v>10</v>
      </c>
      <c r="Y316" cm="1">
        <f t="array" ref="Y316">_xlfn.IFS(H316=0.1,1,H316=0.15,1,H316=0.05,1,H316=0,0)</f>
        <v>1</v>
      </c>
      <c r="Z316">
        <f t="shared" si="33"/>
        <v>5</v>
      </c>
      <c r="AA316">
        <f t="shared" si="34"/>
        <v>2023</v>
      </c>
    </row>
    <row r="317" spans="1:27" x14ac:dyDescent="0.3">
      <c r="A317" s="2">
        <v>45044</v>
      </c>
      <c r="B317" t="s">
        <v>71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681</v>
      </c>
      <c r="O317" t="s">
        <v>682</v>
      </c>
      <c r="P317">
        <v>7.78</v>
      </c>
      <c r="Q317" s="2">
        <v>45044</v>
      </c>
      <c r="R317" s="2">
        <v>45054</v>
      </c>
      <c r="S317" t="s">
        <v>74</v>
      </c>
      <c r="T317">
        <f t="shared" si="28"/>
        <v>365.98699999999997</v>
      </c>
      <c r="U317">
        <f t="shared" si="29"/>
        <v>15</v>
      </c>
      <c r="V317">
        <f t="shared" si="30"/>
        <v>421.42</v>
      </c>
      <c r="W317">
        <f t="shared" si="31"/>
        <v>63.213000000000022</v>
      </c>
      <c r="X317">
        <f t="shared" si="32"/>
        <v>10</v>
      </c>
      <c r="Y317" cm="1">
        <f t="array" ref="Y317">_xlfn.IFS(H317=0.1,1,H317=0.15,1,H317=0.05,1,H317=0,0)</f>
        <v>1</v>
      </c>
      <c r="Z317">
        <f t="shared" si="33"/>
        <v>2</v>
      </c>
      <c r="AA317">
        <f t="shared" si="34"/>
        <v>2023</v>
      </c>
    </row>
    <row r="318" spans="1:27" x14ac:dyDescent="0.3">
      <c r="A318" s="2">
        <v>45278</v>
      </c>
      <c r="B318" t="s">
        <v>71</v>
      </c>
      <c r="C318" t="s">
        <v>132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65</v>
      </c>
      <c r="L318" t="s">
        <v>35</v>
      </c>
      <c r="M318">
        <v>0</v>
      </c>
      <c r="N318" t="s">
        <v>683</v>
      </c>
      <c r="O318" t="s">
        <v>684</v>
      </c>
      <c r="P318">
        <v>34.35</v>
      </c>
      <c r="Q318" s="2">
        <v>45278</v>
      </c>
      <c r="R318" s="2">
        <v>45281</v>
      </c>
      <c r="S318" t="s">
        <v>74</v>
      </c>
      <c r="T318">
        <f t="shared" si="28"/>
        <v>2512.7069999999999</v>
      </c>
      <c r="U318">
        <f t="shared" si="29"/>
        <v>10</v>
      </c>
      <c r="V318">
        <f t="shared" si="30"/>
        <v>2753.73</v>
      </c>
      <c r="W318">
        <f t="shared" si="31"/>
        <v>275.37300000000005</v>
      </c>
      <c r="X318">
        <f t="shared" si="32"/>
        <v>3</v>
      </c>
      <c r="Y318" cm="1">
        <f t="array" ref="Y318">_xlfn.IFS(H318=0.1,1,H318=0.15,1,H318=0.05,1,H318=0,0)</f>
        <v>1</v>
      </c>
      <c r="Z318">
        <f t="shared" si="33"/>
        <v>7</v>
      </c>
      <c r="AA318">
        <f t="shared" si="34"/>
        <v>2023</v>
      </c>
    </row>
    <row r="319" spans="1:27" x14ac:dyDescent="0.3">
      <c r="A319" s="2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68</v>
      </c>
      <c r="J319">
        <v>1482.39</v>
      </c>
      <c r="K319" t="s">
        <v>65</v>
      </c>
      <c r="L319" t="s">
        <v>59</v>
      </c>
      <c r="M319">
        <v>0</v>
      </c>
      <c r="N319" t="s">
        <v>685</v>
      </c>
      <c r="O319" t="s">
        <v>686</v>
      </c>
      <c r="P319">
        <v>43.81</v>
      </c>
      <c r="Q319" s="2">
        <v>45575</v>
      </c>
      <c r="R319" s="2">
        <v>45581</v>
      </c>
      <c r="S319" t="s">
        <v>38</v>
      </c>
      <c r="T319">
        <f t="shared" si="28"/>
        <v>1526.2</v>
      </c>
      <c r="U319">
        <f t="shared" si="29"/>
        <v>0</v>
      </c>
      <c r="V319">
        <f t="shared" si="30"/>
        <v>1482.39</v>
      </c>
      <c r="W319">
        <f t="shared" si="31"/>
        <v>0</v>
      </c>
      <c r="X319">
        <f t="shared" si="32"/>
        <v>6</v>
      </c>
      <c r="Y319" cm="1">
        <f t="array" ref="Y319">_xlfn.IFS(H319=0.1,1,H319=0.15,1,H319=0.05,1,H319=0,0)</f>
        <v>0</v>
      </c>
      <c r="Z319">
        <f t="shared" si="33"/>
        <v>0</v>
      </c>
      <c r="AA319">
        <f t="shared" si="34"/>
        <v>2024</v>
      </c>
    </row>
    <row r="320" spans="1:27" x14ac:dyDescent="0.3">
      <c r="A320" s="2">
        <v>44962</v>
      </c>
      <c r="B320" t="s">
        <v>39</v>
      </c>
      <c r="C320" t="s">
        <v>81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687</v>
      </c>
      <c r="O320" t="s">
        <v>688</v>
      </c>
      <c r="P320">
        <v>18.59</v>
      </c>
      <c r="Q320" s="2">
        <v>44962</v>
      </c>
      <c r="R320" s="2">
        <v>44964</v>
      </c>
      <c r="S320" t="s">
        <v>44</v>
      </c>
      <c r="T320">
        <f t="shared" si="28"/>
        <v>6075.2300000000005</v>
      </c>
      <c r="U320">
        <f t="shared" si="29"/>
        <v>0</v>
      </c>
      <c r="V320">
        <f t="shared" si="30"/>
        <v>6056.64</v>
      </c>
      <c r="W320">
        <f t="shared" si="31"/>
        <v>0</v>
      </c>
      <c r="X320">
        <f t="shared" si="32"/>
        <v>2</v>
      </c>
      <c r="Y320" cm="1">
        <f t="array" ref="Y320">_xlfn.IFS(H320=0.1,1,H320=0.15,1,H320=0.05,1,H320=0,0)</f>
        <v>0</v>
      </c>
      <c r="Z320">
        <f t="shared" si="33"/>
        <v>0</v>
      </c>
      <c r="AA320">
        <f t="shared" si="34"/>
        <v>2023</v>
      </c>
    </row>
    <row r="321" spans="1:27" x14ac:dyDescent="0.3">
      <c r="A321" s="2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689</v>
      </c>
      <c r="O321" t="s">
        <v>690</v>
      </c>
      <c r="P321">
        <v>22.06</v>
      </c>
      <c r="Q321" s="2">
        <v>45508</v>
      </c>
      <c r="R321" s="2">
        <v>45518</v>
      </c>
      <c r="S321" t="s">
        <v>50</v>
      </c>
      <c r="T321">
        <f t="shared" si="28"/>
        <v>210.02600000000001</v>
      </c>
      <c r="U321">
        <f t="shared" si="29"/>
        <v>15</v>
      </c>
      <c r="V321">
        <f t="shared" si="30"/>
        <v>219.96</v>
      </c>
      <c r="W321">
        <f t="shared" si="31"/>
        <v>32.994</v>
      </c>
      <c r="X321">
        <f t="shared" si="32"/>
        <v>10</v>
      </c>
      <c r="Y321" cm="1">
        <f t="array" ref="Y321">_xlfn.IFS(H321=0.1,1,H321=0.15,1,H321=0.05,1,H321=0,0)</f>
        <v>1</v>
      </c>
      <c r="Z321">
        <f t="shared" si="33"/>
        <v>9</v>
      </c>
      <c r="AA321">
        <f t="shared" si="34"/>
        <v>2024</v>
      </c>
    </row>
    <row r="322" spans="1:27" x14ac:dyDescent="0.3">
      <c r="A322" s="2">
        <v>45588</v>
      </c>
      <c r="B322" t="s">
        <v>45</v>
      </c>
      <c r="C322" t="s">
        <v>81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4015.079999999999</v>
      </c>
      <c r="K322" t="s">
        <v>58</v>
      </c>
      <c r="L322" t="s">
        <v>41</v>
      </c>
      <c r="M322">
        <v>0</v>
      </c>
      <c r="N322" t="s">
        <v>691</v>
      </c>
      <c r="O322" t="s">
        <v>692</v>
      </c>
      <c r="P322">
        <v>18.39</v>
      </c>
      <c r="Q322" s="2">
        <v>45588</v>
      </c>
      <c r="R322" s="2">
        <v>45597</v>
      </c>
      <c r="S322" t="s">
        <v>50</v>
      </c>
      <c r="T322">
        <f t="shared" si="28"/>
        <v>4033.4699999999989</v>
      </c>
      <c r="U322">
        <f t="shared" si="29"/>
        <v>5</v>
      </c>
      <c r="V322">
        <f t="shared" si="30"/>
        <v>4226.3999999999996</v>
      </c>
      <c r="W322">
        <f t="shared" si="31"/>
        <v>211.32000000000062</v>
      </c>
      <c r="X322">
        <f t="shared" si="32"/>
        <v>9</v>
      </c>
      <c r="Y322" cm="1">
        <f t="array" ref="Y322">_xlfn.IFS(H322=0.1,1,H322=0.15,1,H322=0.05,1,H322=0,0)</f>
        <v>1</v>
      </c>
      <c r="Z322">
        <f t="shared" si="33"/>
        <v>12</v>
      </c>
      <c r="AA322">
        <f t="shared" si="34"/>
        <v>2024</v>
      </c>
    </row>
    <row r="323" spans="1:27" x14ac:dyDescent="0.3">
      <c r="A323" s="2">
        <v>45335</v>
      </c>
      <c r="B323" t="s">
        <v>71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693</v>
      </c>
      <c r="O323" t="s">
        <v>694</v>
      </c>
      <c r="P323">
        <v>5.93</v>
      </c>
      <c r="Q323" s="2">
        <v>45335</v>
      </c>
      <c r="R323" s="2">
        <v>45342</v>
      </c>
      <c r="S323" t="s">
        <v>74</v>
      </c>
      <c r="T323">
        <f t="shared" ref="T323:T386" si="35">SUM(J323:P323)</f>
        <v>2359.9634999999998</v>
      </c>
      <c r="U323">
        <f t="shared" ref="U323:U386" si="36">PRODUCT(100,H323)</f>
        <v>5</v>
      </c>
      <c r="V323">
        <f t="shared" ref="V323:V386" si="37">PRODUCT(D323:E323)</f>
        <v>2477.9300000000003</v>
      </c>
      <c r="W323">
        <f t="shared" ref="W323:W386" si="38" xml:space="preserve"> V323-J323</f>
        <v>123.89650000000029</v>
      </c>
      <c r="X323">
        <f t="shared" ref="X323:X386" si="39">R323-Q323</f>
        <v>7</v>
      </c>
      <c r="Y323" cm="1">
        <f t="array" ref="Y323">_xlfn.IFS(H323=0.1,1,H323=0.15,1,H323=0.05,1,H323=0,0)</f>
        <v>1</v>
      </c>
      <c r="Z323">
        <f t="shared" ref="Z323:Z386" si="40">PRODUCT(Y323,D323)</f>
        <v>7</v>
      </c>
      <c r="AA323">
        <f t="shared" ref="AA323:AA386" si="41">YEAR(A323)</f>
        <v>2024</v>
      </c>
    </row>
    <row r="324" spans="1:27" x14ac:dyDescent="0.3">
      <c r="A324" s="2">
        <v>45446</v>
      </c>
      <c r="B324" t="s">
        <v>29</v>
      </c>
      <c r="C324" t="s">
        <v>81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695</v>
      </c>
      <c r="O324" t="s">
        <v>696</v>
      </c>
      <c r="P324">
        <v>36.270000000000003</v>
      </c>
      <c r="Q324" s="2">
        <v>45446</v>
      </c>
      <c r="R324" s="2">
        <v>45450</v>
      </c>
      <c r="S324" t="s">
        <v>38</v>
      </c>
      <c r="T324">
        <f t="shared" si="35"/>
        <v>189.57000000000002</v>
      </c>
      <c r="U324">
        <f t="shared" si="36"/>
        <v>0</v>
      </c>
      <c r="V324">
        <f t="shared" si="37"/>
        <v>153.30000000000001</v>
      </c>
      <c r="W324">
        <f t="shared" si="38"/>
        <v>0</v>
      </c>
      <c r="X324">
        <f t="shared" si="39"/>
        <v>4</v>
      </c>
      <c r="Y324" cm="1">
        <f t="array" ref="Y324">_xlfn.IFS(H324=0.1,1,H324=0.15,1,H324=0.05,1,H324=0,0)</f>
        <v>0</v>
      </c>
      <c r="Z324">
        <f t="shared" si="40"/>
        <v>0</v>
      </c>
      <c r="AA324">
        <f t="shared" si="41"/>
        <v>2024</v>
      </c>
    </row>
    <row r="325" spans="1:27" x14ac:dyDescent="0.3">
      <c r="A325" s="2">
        <v>45030</v>
      </c>
      <c r="B325" t="s">
        <v>29</v>
      </c>
      <c r="C325" t="s">
        <v>132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62</v>
      </c>
      <c r="L325" t="s">
        <v>25</v>
      </c>
      <c r="M325">
        <v>1</v>
      </c>
      <c r="N325" t="s">
        <v>697</v>
      </c>
      <c r="O325" t="s">
        <v>698</v>
      </c>
      <c r="P325">
        <v>46.83</v>
      </c>
      <c r="Q325" s="2">
        <v>45030</v>
      </c>
      <c r="R325" s="2">
        <v>45034</v>
      </c>
      <c r="S325" t="s">
        <v>38</v>
      </c>
      <c r="T325">
        <f t="shared" si="35"/>
        <v>6754.942</v>
      </c>
      <c r="U325">
        <f t="shared" si="36"/>
        <v>15</v>
      </c>
      <c r="V325">
        <f t="shared" si="37"/>
        <v>7890.72</v>
      </c>
      <c r="W325">
        <f t="shared" si="38"/>
        <v>1183.6080000000002</v>
      </c>
      <c r="X325">
        <f t="shared" si="39"/>
        <v>4</v>
      </c>
      <c r="Y325" cm="1">
        <f t="array" ref="Y325">_xlfn.IFS(H325=0.1,1,H325=0.15,1,H325=0.05,1,H325=0,0)</f>
        <v>1</v>
      </c>
      <c r="Z325">
        <f t="shared" si="40"/>
        <v>17</v>
      </c>
      <c r="AA325">
        <f t="shared" si="41"/>
        <v>2023</v>
      </c>
    </row>
    <row r="326" spans="1:27" x14ac:dyDescent="0.3">
      <c r="A326" s="2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6631.9119999999994</v>
      </c>
      <c r="K326" t="s">
        <v>24</v>
      </c>
      <c r="L326" t="s">
        <v>59</v>
      </c>
      <c r="M326">
        <v>0</v>
      </c>
      <c r="N326" t="s">
        <v>699</v>
      </c>
      <c r="O326" t="s">
        <v>700</v>
      </c>
      <c r="P326">
        <v>47.61</v>
      </c>
      <c r="Q326" s="2">
        <v>45584</v>
      </c>
      <c r="R326" s="2">
        <v>45588</v>
      </c>
      <c r="S326" t="s">
        <v>50</v>
      </c>
      <c r="T326">
        <f t="shared" si="35"/>
        <v>6679.521999999999</v>
      </c>
      <c r="U326">
        <f t="shared" si="36"/>
        <v>5</v>
      </c>
      <c r="V326">
        <f t="shared" si="37"/>
        <v>6980.96</v>
      </c>
      <c r="W326">
        <f t="shared" si="38"/>
        <v>349.04800000000068</v>
      </c>
      <c r="X326">
        <f t="shared" si="39"/>
        <v>4</v>
      </c>
      <c r="Y326" cm="1">
        <f t="array" ref="Y326">_xlfn.IFS(H326=0.1,1,H326=0.15,1,H326=0.05,1,H326=0,0)</f>
        <v>1</v>
      </c>
      <c r="Z326">
        <f t="shared" si="40"/>
        <v>16</v>
      </c>
      <c r="AA326">
        <f t="shared" si="41"/>
        <v>2024</v>
      </c>
    </row>
    <row r="327" spans="1:27" x14ac:dyDescent="0.3">
      <c r="A327" s="2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68</v>
      </c>
      <c r="J327">
        <v>1880.4014999999999</v>
      </c>
      <c r="K327" t="s">
        <v>34</v>
      </c>
      <c r="L327" t="s">
        <v>25</v>
      </c>
      <c r="M327">
        <v>0</v>
      </c>
      <c r="N327" t="s">
        <v>701</v>
      </c>
      <c r="O327" t="s">
        <v>702</v>
      </c>
      <c r="P327">
        <v>44.78</v>
      </c>
      <c r="Q327" s="2">
        <v>45278</v>
      </c>
      <c r="R327" s="2">
        <v>45282</v>
      </c>
      <c r="S327" t="s">
        <v>38</v>
      </c>
      <c r="T327">
        <f t="shared" si="35"/>
        <v>1925.1814999999999</v>
      </c>
      <c r="U327">
        <f t="shared" si="36"/>
        <v>5</v>
      </c>
      <c r="V327">
        <f t="shared" si="37"/>
        <v>1979.3700000000001</v>
      </c>
      <c r="W327">
        <f t="shared" si="38"/>
        <v>98.968500000000176</v>
      </c>
      <c r="X327">
        <f t="shared" si="39"/>
        <v>4</v>
      </c>
      <c r="Y327" cm="1">
        <f t="array" ref="Y327">_xlfn.IFS(H327=0.1,1,H327=0.15,1,H327=0.05,1,H327=0,0)</f>
        <v>1</v>
      </c>
      <c r="Z327">
        <f t="shared" si="40"/>
        <v>9</v>
      </c>
      <c r="AA327">
        <f t="shared" si="41"/>
        <v>2023</v>
      </c>
    </row>
    <row r="328" spans="1:27" x14ac:dyDescent="0.3">
      <c r="A328" s="2">
        <v>45169</v>
      </c>
      <c r="B328" t="s">
        <v>39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65</v>
      </c>
      <c r="L328" t="s">
        <v>25</v>
      </c>
      <c r="M328">
        <v>0</v>
      </c>
      <c r="N328" t="s">
        <v>703</v>
      </c>
      <c r="O328" t="s">
        <v>704</v>
      </c>
      <c r="P328">
        <v>36.979999999999997</v>
      </c>
      <c r="Q328" s="2">
        <v>45169</v>
      </c>
      <c r="R328" s="2">
        <v>45175</v>
      </c>
      <c r="S328" t="s">
        <v>44</v>
      </c>
      <c r="T328">
        <f t="shared" si="35"/>
        <v>1359.665</v>
      </c>
      <c r="U328">
        <f t="shared" si="36"/>
        <v>15</v>
      </c>
      <c r="V328">
        <f t="shared" si="37"/>
        <v>1556.1000000000001</v>
      </c>
      <c r="W328">
        <f t="shared" si="38"/>
        <v>233.41500000000019</v>
      </c>
      <c r="X328">
        <f t="shared" si="39"/>
        <v>6</v>
      </c>
      <c r="Y328" cm="1">
        <f t="array" ref="Y328">_xlfn.IFS(H328=0.1,1,H328=0.15,1,H328=0.05,1,H328=0,0)</f>
        <v>1</v>
      </c>
      <c r="Z328">
        <f t="shared" si="40"/>
        <v>5</v>
      </c>
      <c r="AA328">
        <f t="shared" si="41"/>
        <v>2023</v>
      </c>
    </row>
    <row r="329" spans="1:27" x14ac:dyDescent="0.3">
      <c r="A329" s="2">
        <v>45188</v>
      </c>
      <c r="B329" t="s">
        <v>29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L329" t="s">
        <v>59</v>
      </c>
      <c r="M329">
        <v>0</v>
      </c>
      <c r="N329" t="s">
        <v>705</v>
      </c>
      <c r="O329" t="s">
        <v>706</v>
      </c>
      <c r="P329">
        <v>25.88</v>
      </c>
      <c r="Q329" s="2">
        <v>45188</v>
      </c>
      <c r="R329" s="2">
        <v>45195</v>
      </c>
      <c r="S329" t="s">
        <v>38</v>
      </c>
      <c r="T329">
        <f t="shared" si="35"/>
        <v>1887.5840000000001</v>
      </c>
      <c r="U329">
        <f t="shared" si="36"/>
        <v>15</v>
      </c>
      <c r="V329">
        <f t="shared" si="37"/>
        <v>2190.2399999999998</v>
      </c>
      <c r="W329">
        <f t="shared" si="38"/>
        <v>328.53599999999983</v>
      </c>
      <c r="X329">
        <f t="shared" si="39"/>
        <v>7</v>
      </c>
      <c r="Y329" cm="1">
        <f t="array" ref="Y329">_xlfn.IFS(H329=0.1,1,H329=0.15,1,H329=0.05,1,H329=0,0)</f>
        <v>1</v>
      </c>
      <c r="Z329">
        <f t="shared" si="40"/>
        <v>4</v>
      </c>
      <c r="AA329">
        <f t="shared" si="41"/>
        <v>2023</v>
      </c>
    </row>
    <row r="330" spans="1:27" x14ac:dyDescent="0.3">
      <c r="A330" s="2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707</v>
      </c>
      <c r="O330" t="s">
        <v>708</v>
      </c>
      <c r="P330">
        <v>14.59</v>
      </c>
      <c r="Q330" s="2">
        <v>44984</v>
      </c>
      <c r="R330" s="2">
        <v>44989</v>
      </c>
      <c r="S330" t="s">
        <v>50</v>
      </c>
      <c r="T330">
        <f t="shared" si="35"/>
        <v>417.66849999999999</v>
      </c>
      <c r="U330">
        <f t="shared" si="36"/>
        <v>15</v>
      </c>
      <c r="V330">
        <f t="shared" si="37"/>
        <v>474.21</v>
      </c>
      <c r="W330">
        <f t="shared" si="38"/>
        <v>71.13149999999996</v>
      </c>
      <c r="X330">
        <f t="shared" si="39"/>
        <v>5</v>
      </c>
      <c r="Y330" cm="1">
        <f t="array" ref="Y330">_xlfn.IFS(H330=0.1,1,H330=0.15,1,H330=0.05,1,H330=0,0)</f>
        <v>1</v>
      </c>
      <c r="Z330">
        <f t="shared" si="40"/>
        <v>9</v>
      </c>
      <c r="AA330">
        <f t="shared" si="41"/>
        <v>2023</v>
      </c>
    </row>
    <row r="331" spans="1:27" x14ac:dyDescent="0.3">
      <c r="A331" s="2">
        <v>45319</v>
      </c>
      <c r="B331" t="s">
        <v>29</v>
      </c>
      <c r="C331" t="s">
        <v>81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68</v>
      </c>
      <c r="J331">
        <v>3521.3939999999998</v>
      </c>
      <c r="K331" t="s">
        <v>24</v>
      </c>
      <c r="L331" t="s">
        <v>35</v>
      </c>
      <c r="M331">
        <v>0</v>
      </c>
      <c r="N331" t="s">
        <v>709</v>
      </c>
      <c r="O331" t="s">
        <v>710</v>
      </c>
      <c r="P331">
        <v>20.11</v>
      </c>
      <c r="Q331" s="2">
        <v>45319</v>
      </c>
      <c r="R331" s="2">
        <v>45322</v>
      </c>
      <c r="S331" t="s">
        <v>38</v>
      </c>
      <c r="T331">
        <f t="shared" si="35"/>
        <v>3541.5039999999999</v>
      </c>
      <c r="U331">
        <f t="shared" si="36"/>
        <v>10</v>
      </c>
      <c r="V331">
        <f t="shared" si="37"/>
        <v>3912.66</v>
      </c>
      <c r="W331">
        <f t="shared" si="38"/>
        <v>391.26600000000008</v>
      </c>
      <c r="X331">
        <f t="shared" si="39"/>
        <v>3</v>
      </c>
      <c r="Y331" cm="1">
        <f t="array" ref="Y331">_xlfn.IFS(H331=0.1,1,H331=0.15,1,H331=0.05,1,H331=0,0)</f>
        <v>1</v>
      </c>
      <c r="Z331">
        <f t="shared" si="40"/>
        <v>9</v>
      </c>
      <c r="AA331">
        <f t="shared" si="41"/>
        <v>2024</v>
      </c>
    </row>
    <row r="332" spans="1:27" x14ac:dyDescent="0.3">
      <c r="A332" s="2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62</v>
      </c>
      <c r="L332" t="s">
        <v>41</v>
      </c>
      <c r="M332">
        <v>0</v>
      </c>
      <c r="N332" t="s">
        <v>711</v>
      </c>
      <c r="O332" t="s">
        <v>712</v>
      </c>
      <c r="P332">
        <v>13.31</v>
      </c>
      <c r="Q332" s="2">
        <v>45783</v>
      </c>
      <c r="R332" s="2">
        <v>45787</v>
      </c>
      <c r="S332" t="s">
        <v>38</v>
      </c>
      <c r="T332">
        <f t="shared" si="35"/>
        <v>1130.8399999999999</v>
      </c>
      <c r="U332">
        <f t="shared" si="36"/>
        <v>0</v>
      </c>
      <c r="V332">
        <f t="shared" si="37"/>
        <v>1117.53</v>
      </c>
      <c r="W332">
        <f t="shared" si="38"/>
        <v>0</v>
      </c>
      <c r="X332">
        <f t="shared" si="39"/>
        <v>4</v>
      </c>
      <c r="Y332" cm="1">
        <f t="array" ref="Y332">_xlfn.IFS(H332=0.1,1,H332=0.15,1,H332=0.05,1,H332=0,0)</f>
        <v>0</v>
      </c>
      <c r="Z332">
        <f t="shared" si="40"/>
        <v>0</v>
      </c>
      <c r="AA332">
        <f t="shared" si="41"/>
        <v>2025</v>
      </c>
    </row>
    <row r="333" spans="1:27" x14ac:dyDescent="0.3">
      <c r="A333" s="2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713</v>
      </c>
      <c r="O333" t="s">
        <v>714</v>
      </c>
      <c r="P333">
        <v>26.39</v>
      </c>
      <c r="Q333" s="2">
        <v>45548</v>
      </c>
      <c r="R333" s="2">
        <v>45550</v>
      </c>
      <c r="S333" t="s">
        <v>28</v>
      </c>
      <c r="T333">
        <f t="shared" si="35"/>
        <v>739.80200000000002</v>
      </c>
      <c r="U333">
        <f t="shared" si="36"/>
        <v>5</v>
      </c>
      <c r="V333">
        <f t="shared" si="37"/>
        <v>750.96</v>
      </c>
      <c r="W333">
        <f t="shared" si="38"/>
        <v>37.548000000000002</v>
      </c>
      <c r="X333">
        <f t="shared" si="39"/>
        <v>2</v>
      </c>
      <c r="Y333" cm="1">
        <f t="array" ref="Y333">_xlfn.IFS(H333=0.1,1,H333=0.15,1,H333=0.05,1,H333=0,0)</f>
        <v>1</v>
      </c>
      <c r="Z333">
        <f t="shared" si="40"/>
        <v>2</v>
      </c>
      <c r="AA333">
        <f t="shared" si="41"/>
        <v>2024</v>
      </c>
    </row>
    <row r="334" spans="1:27" x14ac:dyDescent="0.3">
      <c r="A334" s="2">
        <v>45071</v>
      </c>
      <c r="B334" t="s">
        <v>19</v>
      </c>
      <c r="C334" t="s">
        <v>132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68</v>
      </c>
      <c r="J334">
        <v>2469.402</v>
      </c>
      <c r="K334" t="s">
        <v>34</v>
      </c>
      <c r="L334" t="s">
        <v>59</v>
      </c>
      <c r="M334">
        <v>1</v>
      </c>
      <c r="N334" t="s">
        <v>715</v>
      </c>
      <c r="O334" t="s">
        <v>716</v>
      </c>
      <c r="P334">
        <v>19.579999999999998</v>
      </c>
      <c r="Q334" s="2">
        <v>45071</v>
      </c>
      <c r="R334" s="2">
        <v>45075</v>
      </c>
      <c r="S334" t="s">
        <v>28</v>
      </c>
      <c r="T334">
        <f t="shared" si="35"/>
        <v>2489.982</v>
      </c>
      <c r="U334">
        <f t="shared" si="36"/>
        <v>10</v>
      </c>
      <c r="V334">
        <f t="shared" si="37"/>
        <v>2743.78</v>
      </c>
      <c r="W334">
        <f t="shared" si="38"/>
        <v>274.37800000000016</v>
      </c>
      <c r="X334">
        <f t="shared" si="39"/>
        <v>4</v>
      </c>
      <c r="Y334" cm="1">
        <f t="array" ref="Y334">_xlfn.IFS(H334=0.1,1,H334=0.15,1,H334=0.05,1,H334=0,0)</f>
        <v>1</v>
      </c>
      <c r="Z334">
        <f t="shared" si="40"/>
        <v>13</v>
      </c>
      <c r="AA334">
        <f t="shared" si="41"/>
        <v>2023</v>
      </c>
    </row>
    <row r="335" spans="1:27" x14ac:dyDescent="0.3">
      <c r="A335" s="2">
        <v>45561</v>
      </c>
      <c r="B335" t="s">
        <v>29</v>
      </c>
      <c r="C335" t="s">
        <v>81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717</v>
      </c>
      <c r="O335" t="s">
        <v>718</v>
      </c>
      <c r="P335">
        <v>8.36</v>
      </c>
      <c r="Q335" s="2">
        <v>45561</v>
      </c>
      <c r="R335" s="2">
        <v>45566</v>
      </c>
      <c r="S335" t="s">
        <v>38</v>
      </c>
      <c r="T335">
        <f t="shared" si="35"/>
        <v>630.45000000000005</v>
      </c>
      <c r="U335">
        <f t="shared" si="36"/>
        <v>0</v>
      </c>
      <c r="V335">
        <f t="shared" si="37"/>
        <v>622.09</v>
      </c>
      <c r="W335">
        <f t="shared" si="38"/>
        <v>0</v>
      </c>
      <c r="X335">
        <f t="shared" si="39"/>
        <v>5</v>
      </c>
      <c r="Y335" cm="1">
        <f t="array" ref="Y335">_xlfn.IFS(H335=0.1,1,H335=0.15,1,H335=0.05,1,H335=0,0)</f>
        <v>0</v>
      </c>
      <c r="Z335">
        <f t="shared" si="40"/>
        <v>0</v>
      </c>
      <c r="AA335">
        <f t="shared" si="41"/>
        <v>2024</v>
      </c>
    </row>
    <row r="336" spans="1:27" x14ac:dyDescent="0.3">
      <c r="A336" s="2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68</v>
      </c>
      <c r="J336">
        <v>1207.6400000000001</v>
      </c>
      <c r="K336" t="s">
        <v>24</v>
      </c>
      <c r="L336" t="s">
        <v>59</v>
      </c>
      <c r="M336">
        <v>0</v>
      </c>
      <c r="N336" t="s">
        <v>719</v>
      </c>
      <c r="O336" t="s">
        <v>720</v>
      </c>
      <c r="P336">
        <v>9.9700000000000006</v>
      </c>
      <c r="Q336" s="2">
        <v>44970</v>
      </c>
      <c r="R336" s="2">
        <v>44975</v>
      </c>
      <c r="S336" t="s">
        <v>38</v>
      </c>
      <c r="T336">
        <f t="shared" si="35"/>
        <v>1217.6100000000001</v>
      </c>
      <c r="U336">
        <f t="shared" si="36"/>
        <v>5</v>
      </c>
      <c r="V336">
        <f t="shared" si="37"/>
        <v>1271.2</v>
      </c>
      <c r="W336">
        <f t="shared" si="38"/>
        <v>63.559999999999945</v>
      </c>
      <c r="X336">
        <f t="shared" si="39"/>
        <v>5</v>
      </c>
      <c r="Y336" cm="1">
        <f t="array" ref="Y336">_xlfn.IFS(H336=0.1,1,H336=0.15,1,H336=0.05,1,H336=0,0)</f>
        <v>1</v>
      </c>
      <c r="Z336">
        <f t="shared" si="40"/>
        <v>5</v>
      </c>
      <c r="AA336">
        <f t="shared" si="41"/>
        <v>2023</v>
      </c>
    </row>
    <row r="337" spans="1:27" x14ac:dyDescent="0.3">
      <c r="A337" s="2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68</v>
      </c>
      <c r="J337">
        <v>1945.575</v>
      </c>
      <c r="K337" t="s">
        <v>34</v>
      </c>
      <c r="L337" t="s">
        <v>59</v>
      </c>
      <c r="M337">
        <v>1</v>
      </c>
      <c r="N337" t="s">
        <v>721</v>
      </c>
      <c r="O337" t="s">
        <v>722</v>
      </c>
      <c r="P337">
        <v>41.48</v>
      </c>
      <c r="Q337" s="2">
        <v>45463</v>
      </c>
      <c r="R337" s="2">
        <v>45470</v>
      </c>
      <c r="S337" t="s">
        <v>50</v>
      </c>
      <c r="T337">
        <f t="shared" si="35"/>
        <v>1988.0550000000001</v>
      </c>
      <c r="U337">
        <f t="shared" si="36"/>
        <v>10</v>
      </c>
      <c r="V337">
        <f t="shared" si="37"/>
        <v>2161.75</v>
      </c>
      <c r="W337">
        <f t="shared" si="38"/>
        <v>216.17499999999995</v>
      </c>
      <c r="X337">
        <f t="shared" si="39"/>
        <v>7</v>
      </c>
      <c r="Y337" cm="1">
        <f t="array" ref="Y337">_xlfn.IFS(H337=0.1,1,H337=0.15,1,H337=0.05,1,H337=0,0)</f>
        <v>1</v>
      </c>
      <c r="Z337">
        <f t="shared" si="40"/>
        <v>5</v>
      </c>
      <c r="AA337">
        <f t="shared" si="41"/>
        <v>2024</v>
      </c>
    </row>
    <row r="338" spans="1:27" x14ac:dyDescent="0.3">
      <c r="A338" s="2">
        <v>45373</v>
      </c>
      <c r="B338" t="s">
        <v>71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723</v>
      </c>
      <c r="O338" t="s">
        <v>724</v>
      </c>
      <c r="P338">
        <v>5.91</v>
      </c>
      <c r="Q338" s="2">
        <v>45373</v>
      </c>
      <c r="R338" s="2">
        <v>45376</v>
      </c>
      <c r="S338" t="s">
        <v>74</v>
      </c>
      <c r="T338">
        <f t="shared" si="35"/>
        <v>10655.41</v>
      </c>
      <c r="U338">
        <f t="shared" si="36"/>
        <v>5</v>
      </c>
      <c r="V338">
        <f t="shared" si="37"/>
        <v>11210</v>
      </c>
      <c r="W338">
        <f t="shared" si="38"/>
        <v>560.5</v>
      </c>
      <c r="X338">
        <f t="shared" si="39"/>
        <v>3</v>
      </c>
      <c r="Y338" cm="1">
        <f t="array" ref="Y338">_xlfn.IFS(H338=0.1,1,H338=0.15,1,H338=0.05,1,H338=0,0)</f>
        <v>1</v>
      </c>
      <c r="Z338">
        <f t="shared" si="40"/>
        <v>19</v>
      </c>
      <c r="AA338">
        <f t="shared" si="41"/>
        <v>2024</v>
      </c>
    </row>
    <row r="339" spans="1:27" x14ac:dyDescent="0.3">
      <c r="A339" s="2">
        <v>45330</v>
      </c>
      <c r="B339" t="s">
        <v>71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L339" t="s">
        <v>59</v>
      </c>
      <c r="M339">
        <v>1</v>
      </c>
      <c r="N339" t="s">
        <v>725</v>
      </c>
      <c r="O339" t="s">
        <v>726</v>
      </c>
      <c r="P339">
        <v>22.65</v>
      </c>
      <c r="Q339" s="2">
        <v>45330</v>
      </c>
      <c r="R339" s="2">
        <v>45333</v>
      </c>
      <c r="S339" t="s">
        <v>74</v>
      </c>
      <c r="T339">
        <f t="shared" si="35"/>
        <v>1521.0250000000001</v>
      </c>
      <c r="U339">
        <f t="shared" si="36"/>
        <v>10</v>
      </c>
      <c r="V339">
        <f t="shared" si="37"/>
        <v>1663.75</v>
      </c>
      <c r="W339">
        <f t="shared" si="38"/>
        <v>166.375</v>
      </c>
      <c r="X339">
        <f t="shared" si="39"/>
        <v>3</v>
      </c>
      <c r="Y339" cm="1">
        <f t="array" ref="Y339">_xlfn.IFS(H339=0.1,1,H339=0.15,1,H339=0.05,1,H339=0,0)</f>
        <v>1</v>
      </c>
      <c r="Z339">
        <f t="shared" si="40"/>
        <v>11</v>
      </c>
      <c r="AA339">
        <f t="shared" si="41"/>
        <v>2024</v>
      </c>
    </row>
    <row r="340" spans="1:27" x14ac:dyDescent="0.3">
      <c r="A340" s="2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727</v>
      </c>
      <c r="O340" t="s">
        <v>728</v>
      </c>
      <c r="P340">
        <v>7.72</v>
      </c>
      <c r="Q340" s="2">
        <v>45444</v>
      </c>
      <c r="R340" s="2">
        <v>45447</v>
      </c>
      <c r="S340" t="s">
        <v>28</v>
      </c>
      <c r="T340">
        <f t="shared" si="35"/>
        <v>561.65300000000002</v>
      </c>
      <c r="U340">
        <f t="shared" si="36"/>
        <v>10</v>
      </c>
      <c r="V340">
        <f t="shared" si="37"/>
        <v>614.37</v>
      </c>
      <c r="W340">
        <f t="shared" si="38"/>
        <v>61.437000000000012</v>
      </c>
      <c r="X340">
        <f t="shared" si="39"/>
        <v>3</v>
      </c>
      <c r="Y340" cm="1">
        <f t="array" ref="Y340">_xlfn.IFS(H340=0.1,1,H340=0.15,1,H340=0.05,1,H340=0,0)</f>
        <v>1</v>
      </c>
      <c r="Z340">
        <f t="shared" si="40"/>
        <v>3</v>
      </c>
      <c r="AA340">
        <f t="shared" si="41"/>
        <v>2024</v>
      </c>
    </row>
    <row r="341" spans="1:27" x14ac:dyDescent="0.3">
      <c r="A341" s="2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729</v>
      </c>
      <c r="O341" t="s">
        <v>730</v>
      </c>
      <c r="P341">
        <v>17.059999999999999</v>
      </c>
      <c r="Q341" s="2">
        <v>45438</v>
      </c>
      <c r="R341" s="2">
        <v>45444</v>
      </c>
      <c r="S341" t="s">
        <v>44</v>
      </c>
      <c r="T341">
        <f t="shared" si="35"/>
        <v>9402.3799999999992</v>
      </c>
      <c r="U341">
        <f t="shared" si="36"/>
        <v>0</v>
      </c>
      <c r="V341">
        <f t="shared" si="37"/>
        <v>9384.32</v>
      </c>
      <c r="W341">
        <f t="shared" si="38"/>
        <v>0</v>
      </c>
      <c r="X341">
        <f t="shared" si="39"/>
        <v>6</v>
      </c>
      <c r="Y341" cm="1">
        <f t="array" ref="Y341">_xlfn.IFS(H341=0.1,1,H341=0.15,1,H341=0.05,1,H341=0,0)</f>
        <v>0</v>
      </c>
      <c r="Z341">
        <f t="shared" si="40"/>
        <v>0</v>
      </c>
      <c r="AA341">
        <f t="shared" si="41"/>
        <v>2024</v>
      </c>
    </row>
    <row r="342" spans="1:27" x14ac:dyDescent="0.3">
      <c r="A342" s="2">
        <v>45468</v>
      </c>
      <c r="B342" t="s">
        <v>19</v>
      </c>
      <c r="C342" t="s">
        <v>132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731</v>
      </c>
      <c r="O342" t="s">
        <v>584</v>
      </c>
      <c r="P342">
        <v>33.99</v>
      </c>
      <c r="Q342" s="2">
        <v>45468</v>
      </c>
      <c r="R342" s="2">
        <v>45473</v>
      </c>
      <c r="S342" t="s">
        <v>28</v>
      </c>
      <c r="T342">
        <f t="shared" si="35"/>
        <v>1711.27</v>
      </c>
      <c r="U342">
        <f t="shared" si="36"/>
        <v>0</v>
      </c>
      <c r="V342">
        <f t="shared" si="37"/>
        <v>1677.28</v>
      </c>
      <c r="W342">
        <f t="shared" si="38"/>
        <v>0</v>
      </c>
      <c r="X342">
        <f t="shared" si="39"/>
        <v>5</v>
      </c>
      <c r="Y342" cm="1">
        <f t="array" ref="Y342">_xlfn.IFS(H342=0.1,1,H342=0.15,1,H342=0.05,1,H342=0,0)</f>
        <v>0</v>
      </c>
      <c r="Z342">
        <f t="shared" si="40"/>
        <v>0</v>
      </c>
      <c r="AA342">
        <f t="shared" si="41"/>
        <v>2024</v>
      </c>
    </row>
    <row r="343" spans="1:27" x14ac:dyDescent="0.3">
      <c r="A343" s="2">
        <v>45320</v>
      </c>
      <c r="B343" t="s">
        <v>45</v>
      </c>
      <c r="C343" t="s">
        <v>132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8618.112000000001</v>
      </c>
      <c r="K343" t="s">
        <v>65</v>
      </c>
      <c r="L343" t="s">
        <v>59</v>
      </c>
      <c r="M343">
        <v>0</v>
      </c>
      <c r="N343" t="s">
        <v>732</v>
      </c>
      <c r="O343" t="s">
        <v>733</v>
      </c>
      <c r="P343">
        <v>47.86</v>
      </c>
      <c r="Q343" s="2">
        <v>45320</v>
      </c>
      <c r="R343" s="2">
        <v>45329</v>
      </c>
      <c r="S343" t="s">
        <v>50</v>
      </c>
      <c r="T343">
        <f t="shared" si="35"/>
        <v>8665.9720000000016</v>
      </c>
      <c r="U343">
        <f t="shared" si="36"/>
        <v>10</v>
      </c>
      <c r="V343">
        <f t="shared" si="37"/>
        <v>9575.68</v>
      </c>
      <c r="W343">
        <f t="shared" si="38"/>
        <v>957.5679999999993</v>
      </c>
      <c r="X343">
        <f t="shared" si="39"/>
        <v>9</v>
      </c>
      <c r="Y343" cm="1">
        <f t="array" ref="Y343">_xlfn.IFS(H343=0.1,1,H343=0.15,1,H343=0.05,1,H343=0,0)</f>
        <v>1</v>
      </c>
      <c r="Z343">
        <f t="shared" si="40"/>
        <v>16</v>
      </c>
      <c r="AA343">
        <f t="shared" si="41"/>
        <v>2024</v>
      </c>
    </row>
    <row r="344" spans="1:27" x14ac:dyDescent="0.3">
      <c r="A344" s="2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65</v>
      </c>
      <c r="L344" t="s">
        <v>25</v>
      </c>
      <c r="M344">
        <v>0</v>
      </c>
      <c r="N344" t="s">
        <v>734</v>
      </c>
      <c r="O344" t="s">
        <v>735</v>
      </c>
      <c r="P344">
        <v>18.100000000000001</v>
      </c>
      <c r="Q344" s="2">
        <v>45633</v>
      </c>
      <c r="R344" s="2">
        <v>45635</v>
      </c>
      <c r="S344" t="s">
        <v>38</v>
      </c>
      <c r="T344">
        <f t="shared" si="35"/>
        <v>2814.0639999999999</v>
      </c>
      <c r="U344">
        <f t="shared" si="36"/>
        <v>5</v>
      </c>
      <c r="V344">
        <f t="shared" si="37"/>
        <v>2943.12</v>
      </c>
      <c r="W344">
        <f t="shared" si="38"/>
        <v>147.15599999999995</v>
      </c>
      <c r="X344">
        <f t="shared" si="39"/>
        <v>2</v>
      </c>
      <c r="Y344" cm="1">
        <f t="array" ref="Y344">_xlfn.IFS(H344=0.1,1,H344=0.15,1,H344=0.05,1,H344=0,0)</f>
        <v>1</v>
      </c>
      <c r="Z344">
        <f t="shared" si="40"/>
        <v>8</v>
      </c>
      <c r="AA344">
        <f t="shared" si="41"/>
        <v>2024</v>
      </c>
    </row>
    <row r="345" spans="1:27" x14ac:dyDescent="0.3">
      <c r="A345" s="2">
        <v>45251</v>
      </c>
      <c r="B345" t="s">
        <v>71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62</v>
      </c>
      <c r="L345" t="s">
        <v>25</v>
      </c>
      <c r="M345">
        <v>0</v>
      </c>
      <c r="N345" t="s">
        <v>736</v>
      </c>
      <c r="O345" t="s">
        <v>737</v>
      </c>
      <c r="P345">
        <v>39.35</v>
      </c>
      <c r="Q345" s="2">
        <v>45251</v>
      </c>
      <c r="R345" s="2">
        <v>45256</v>
      </c>
      <c r="S345" t="s">
        <v>74</v>
      </c>
      <c r="T345">
        <f t="shared" si="35"/>
        <v>2872.8249999999998</v>
      </c>
      <c r="U345">
        <f t="shared" si="36"/>
        <v>15</v>
      </c>
      <c r="V345">
        <f t="shared" si="37"/>
        <v>3333.5</v>
      </c>
      <c r="W345">
        <f t="shared" si="38"/>
        <v>500.02500000000009</v>
      </c>
      <c r="X345">
        <f t="shared" si="39"/>
        <v>5</v>
      </c>
      <c r="Y345" cm="1">
        <f t="array" ref="Y345">_xlfn.IFS(H345=0.1,1,H345=0.15,1,H345=0.05,1,H345=0,0)</f>
        <v>1</v>
      </c>
      <c r="Z345">
        <f t="shared" si="40"/>
        <v>10</v>
      </c>
      <c r="AA345">
        <f t="shared" si="41"/>
        <v>2023</v>
      </c>
    </row>
    <row r="346" spans="1:27" x14ac:dyDescent="0.3">
      <c r="A346" s="2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62</v>
      </c>
      <c r="L346" t="s">
        <v>41</v>
      </c>
      <c r="M346">
        <v>1</v>
      </c>
      <c r="N346" t="s">
        <v>738</v>
      </c>
      <c r="O346" t="s">
        <v>739</v>
      </c>
      <c r="P346">
        <v>5.22</v>
      </c>
      <c r="Q346" s="2">
        <v>45642</v>
      </c>
      <c r="R346" s="2">
        <v>45650</v>
      </c>
      <c r="S346" t="s">
        <v>44</v>
      </c>
      <c r="T346">
        <f t="shared" si="35"/>
        <v>2734.1559999999999</v>
      </c>
      <c r="U346">
        <f t="shared" si="36"/>
        <v>10</v>
      </c>
      <c r="V346">
        <f t="shared" si="37"/>
        <v>3031.04</v>
      </c>
      <c r="W346">
        <f t="shared" si="38"/>
        <v>303.10399999999981</v>
      </c>
      <c r="X346">
        <f t="shared" si="39"/>
        <v>8</v>
      </c>
      <c r="Y346" cm="1">
        <f t="array" ref="Y346">_xlfn.IFS(H346=0.1,1,H346=0.15,1,H346=0.05,1,H346=0,0)</f>
        <v>1</v>
      </c>
      <c r="Z346">
        <f t="shared" si="40"/>
        <v>8</v>
      </c>
      <c r="AA346">
        <f t="shared" si="41"/>
        <v>2024</v>
      </c>
    </row>
    <row r="347" spans="1:27" x14ac:dyDescent="0.3">
      <c r="A347" s="2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740</v>
      </c>
      <c r="O347" t="s">
        <v>741</v>
      </c>
      <c r="P347">
        <v>28.65</v>
      </c>
      <c r="Q347" s="2">
        <v>45143</v>
      </c>
      <c r="R347" s="2">
        <v>45153</v>
      </c>
      <c r="S347" t="s">
        <v>50</v>
      </c>
      <c r="T347">
        <f t="shared" si="35"/>
        <v>1957.5300000000002</v>
      </c>
      <c r="U347">
        <f t="shared" si="36"/>
        <v>5</v>
      </c>
      <c r="V347">
        <f t="shared" si="37"/>
        <v>2030.3999999999999</v>
      </c>
      <c r="W347">
        <f t="shared" si="38"/>
        <v>101.51999999999975</v>
      </c>
      <c r="X347">
        <f t="shared" si="39"/>
        <v>10</v>
      </c>
      <c r="Y347" cm="1">
        <f t="array" ref="Y347">_xlfn.IFS(H347=0.1,1,H347=0.15,1,H347=0.05,1,H347=0,0)</f>
        <v>1</v>
      </c>
      <c r="Z347">
        <f t="shared" si="40"/>
        <v>12</v>
      </c>
      <c r="AA347">
        <f t="shared" si="41"/>
        <v>2023</v>
      </c>
    </row>
    <row r="348" spans="1:27" x14ac:dyDescent="0.3">
      <c r="A348" s="2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68</v>
      </c>
      <c r="J348">
        <v>649.08900000000006</v>
      </c>
      <c r="K348" t="s">
        <v>24</v>
      </c>
      <c r="L348" t="s">
        <v>25</v>
      </c>
      <c r="M348">
        <v>1</v>
      </c>
      <c r="N348" t="s">
        <v>742</v>
      </c>
      <c r="O348" t="s">
        <v>743</v>
      </c>
      <c r="P348">
        <v>5.29</v>
      </c>
      <c r="Q348" s="2">
        <v>45168</v>
      </c>
      <c r="R348" s="2">
        <v>45175</v>
      </c>
      <c r="S348" t="s">
        <v>50</v>
      </c>
      <c r="T348">
        <f t="shared" si="35"/>
        <v>655.37900000000002</v>
      </c>
      <c r="U348">
        <f t="shared" si="36"/>
        <v>10</v>
      </c>
      <c r="V348">
        <f t="shared" si="37"/>
        <v>721.21</v>
      </c>
      <c r="W348">
        <f t="shared" si="38"/>
        <v>72.120999999999981</v>
      </c>
      <c r="X348">
        <f t="shared" si="39"/>
        <v>7</v>
      </c>
      <c r="Y348" cm="1">
        <f t="array" ref="Y348">_xlfn.IFS(H348=0.1,1,H348=0.15,1,H348=0.05,1,H348=0,0)</f>
        <v>1</v>
      </c>
      <c r="Z348">
        <f t="shared" si="40"/>
        <v>7</v>
      </c>
      <c r="AA348">
        <f t="shared" si="41"/>
        <v>2023</v>
      </c>
    </row>
    <row r="349" spans="1:27" x14ac:dyDescent="0.3">
      <c r="A349" s="2">
        <v>45741</v>
      </c>
      <c r="B349" t="s">
        <v>19</v>
      </c>
      <c r="C349" t="s">
        <v>132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744</v>
      </c>
      <c r="O349" t="s">
        <v>745</v>
      </c>
      <c r="P349">
        <v>8.2200000000000006</v>
      </c>
      <c r="Q349" s="2">
        <v>45741</v>
      </c>
      <c r="R349" s="2">
        <v>45743</v>
      </c>
      <c r="S349" t="s">
        <v>28</v>
      </c>
      <c r="T349">
        <f t="shared" si="35"/>
        <v>974.00700000000006</v>
      </c>
      <c r="U349">
        <f t="shared" si="36"/>
        <v>15</v>
      </c>
      <c r="V349">
        <f t="shared" si="37"/>
        <v>1136.22</v>
      </c>
      <c r="W349">
        <f t="shared" si="38"/>
        <v>170.43299999999999</v>
      </c>
      <c r="X349">
        <f t="shared" si="39"/>
        <v>2</v>
      </c>
      <c r="Y349" cm="1">
        <f t="array" ref="Y349">_xlfn.IFS(H349=0.1,1,H349=0.15,1,H349=0.05,1,H349=0,0)</f>
        <v>1</v>
      </c>
      <c r="Z349">
        <f t="shared" si="40"/>
        <v>3</v>
      </c>
      <c r="AA349">
        <f t="shared" si="41"/>
        <v>2025</v>
      </c>
    </row>
    <row r="350" spans="1:27" x14ac:dyDescent="0.3">
      <c r="A350" s="2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746</v>
      </c>
      <c r="O350" t="s">
        <v>747</v>
      </c>
      <c r="P350">
        <v>43.69</v>
      </c>
      <c r="Q350" s="2">
        <v>45639</v>
      </c>
      <c r="R350" s="2">
        <v>45648</v>
      </c>
      <c r="S350" t="s">
        <v>44</v>
      </c>
      <c r="T350">
        <f t="shared" si="35"/>
        <v>451.84</v>
      </c>
      <c r="U350">
        <f t="shared" si="36"/>
        <v>0</v>
      </c>
      <c r="V350">
        <f t="shared" si="37"/>
        <v>408.15000000000003</v>
      </c>
      <c r="W350">
        <f t="shared" si="38"/>
        <v>0</v>
      </c>
      <c r="X350">
        <f t="shared" si="39"/>
        <v>9</v>
      </c>
      <c r="Y350" cm="1">
        <f t="array" ref="Y350">_xlfn.IFS(H350=0.1,1,H350=0.15,1,H350=0.05,1,H350=0,0)</f>
        <v>0</v>
      </c>
      <c r="Z350">
        <f t="shared" si="40"/>
        <v>0</v>
      </c>
      <c r="AA350">
        <f t="shared" si="41"/>
        <v>2024</v>
      </c>
    </row>
    <row r="351" spans="1:27" x14ac:dyDescent="0.3">
      <c r="A351" s="2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68</v>
      </c>
      <c r="J351">
        <v>729.26</v>
      </c>
      <c r="K351" t="s">
        <v>34</v>
      </c>
      <c r="L351" t="s">
        <v>59</v>
      </c>
      <c r="M351">
        <v>1</v>
      </c>
      <c r="N351" t="s">
        <v>748</v>
      </c>
      <c r="O351" t="s">
        <v>749</v>
      </c>
      <c r="P351">
        <v>48.02</v>
      </c>
      <c r="Q351" s="2">
        <v>45176</v>
      </c>
      <c r="R351" s="2">
        <v>45183</v>
      </c>
      <c r="S351" t="s">
        <v>50</v>
      </c>
      <c r="T351">
        <f t="shared" si="35"/>
        <v>778.28</v>
      </c>
      <c r="U351">
        <f t="shared" si="36"/>
        <v>0</v>
      </c>
      <c r="V351">
        <f t="shared" si="37"/>
        <v>729.26</v>
      </c>
      <c r="W351">
        <f t="shared" si="38"/>
        <v>0</v>
      </c>
      <c r="X351">
        <f t="shared" si="39"/>
        <v>7</v>
      </c>
      <c r="Y351" cm="1">
        <f t="array" ref="Y351">_xlfn.IFS(H351=0.1,1,H351=0.15,1,H351=0.05,1,H351=0,0)</f>
        <v>0</v>
      </c>
      <c r="Z351">
        <f t="shared" si="40"/>
        <v>0</v>
      </c>
      <c r="AA351">
        <f t="shared" si="41"/>
        <v>2023</v>
      </c>
    </row>
    <row r="352" spans="1:27" x14ac:dyDescent="0.3">
      <c r="A352" s="2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750</v>
      </c>
      <c r="O352" t="s">
        <v>751</v>
      </c>
      <c r="P352">
        <v>42.33</v>
      </c>
      <c r="Q352" s="2">
        <v>45272</v>
      </c>
      <c r="R352" s="2">
        <v>45281</v>
      </c>
      <c r="S352" t="s">
        <v>44</v>
      </c>
      <c r="T352">
        <f t="shared" si="35"/>
        <v>4032.4</v>
      </c>
      <c r="U352">
        <f t="shared" si="36"/>
        <v>0</v>
      </c>
      <c r="V352">
        <f t="shared" si="37"/>
        <v>3990.0699999999997</v>
      </c>
      <c r="W352">
        <f t="shared" si="38"/>
        <v>0</v>
      </c>
      <c r="X352">
        <f t="shared" si="39"/>
        <v>9</v>
      </c>
      <c r="Y352" cm="1">
        <f t="array" ref="Y352">_xlfn.IFS(H352=0.1,1,H352=0.15,1,H352=0.05,1,H352=0,0)</f>
        <v>0</v>
      </c>
      <c r="Z352">
        <f t="shared" si="40"/>
        <v>0</v>
      </c>
      <c r="AA352">
        <f t="shared" si="41"/>
        <v>2023</v>
      </c>
    </row>
    <row r="353" spans="1:27" x14ac:dyDescent="0.3">
      <c r="A353" s="2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68</v>
      </c>
      <c r="J353">
        <v>9998.3700000000008</v>
      </c>
      <c r="K353" t="s">
        <v>58</v>
      </c>
      <c r="L353" t="s">
        <v>41</v>
      </c>
      <c r="M353">
        <v>0</v>
      </c>
      <c r="N353" t="s">
        <v>752</v>
      </c>
      <c r="O353" t="s">
        <v>753</v>
      </c>
      <c r="P353">
        <v>32.770000000000003</v>
      </c>
      <c r="Q353" s="2">
        <v>45407</v>
      </c>
      <c r="R353" s="2">
        <v>45417</v>
      </c>
      <c r="S353" t="s">
        <v>28</v>
      </c>
      <c r="T353">
        <f t="shared" si="35"/>
        <v>10031.140000000001</v>
      </c>
      <c r="U353">
        <f t="shared" si="36"/>
        <v>0</v>
      </c>
      <c r="V353">
        <f t="shared" si="37"/>
        <v>9998.3700000000008</v>
      </c>
      <c r="W353">
        <f t="shared" si="38"/>
        <v>0</v>
      </c>
      <c r="X353">
        <f t="shared" si="39"/>
        <v>10</v>
      </c>
      <c r="Y353" cm="1">
        <f t="array" ref="Y353">_xlfn.IFS(H353=0.1,1,H353=0.15,1,H353=0.05,1,H353=0,0)</f>
        <v>0</v>
      </c>
      <c r="Z353">
        <f t="shared" si="40"/>
        <v>0</v>
      </c>
      <c r="AA353">
        <f t="shared" si="41"/>
        <v>2024</v>
      </c>
    </row>
    <row r="354" spans="1:27" x14ac:dyDescent="0.3">
      <c r="A354" s="2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L354" t="s">
        <v>59</v>
      </c>
      <c r="M354">
        <v>0</v>
      </c>
      <c r="N354" t="s">
        <v>754</v>
      </c>
      <c r="O354" t="s">
        <v>755</v>
      </c>
      <c r="P354">
        <v>10.46</v>
      </c>
      <c r="Q354" s="2">
        <v>45781</v>
      </c>
      <c r="R354" s="2">
        <v>45784</v>
      </c>
      <c r="S354" t="s">
        <v>44</v>
      </c>
      <c r="T354">
        <f t="shared" si="35"/>
        <v>2013.1279999999999</v>
      </c>
      <c r="U354">
        <f t="shared" si="36"/>
        <v>15</v>
      </c>
      <c r="V354">
        <f t="shared" si="37"/>
        <v>2356.08</v>
      </c>
      <c r="W354">
        <f t="shared" si="38"/>
        <v>353.41200000000003</v>
      </c>
      <c r="X354">
        <f t="shared" si="39"/>
        <v>3</v>
      </c>
      <c r="Y354" cm="1">
        <f t="array" ref="Y354">_xlfn.IFS(H354=0.1,1,H354=0.15,1,H354=0.05,1,H354=0,0)</f>
        <v>1</v>
      </c>
      <c r="Z354">
        <f t="shared" si="40"/>
        <v>8</v>
      </c>
      <c r="AA354">
        <f t="shared" si="41"/>
        <v>2025</v>
      </c>
    </row>
    <row r="355" spans="1:27" x14ac:dyDescent="0.3">
      <c r="A355" s="2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7665.4169999999986</v>
      </c>
      <c r="K355" t="s">
        <v>58</v>
      </c>
      <c r="L355" t="s">
        <v>35</v>
      </c>
      <c r="M355">
        <v>0</v>
      </c>
      <c r="N355" t="s">
        <v>756</v>
      </c>
      <c r="O355" t="s">
        <v>757</v>
      </c>
      <c r="P355">
        <v>47.56</v>
      </c>
      <c r="Q355" s="2">
        <v>45185</v>
      </c>
      <c r="R355" s="2">
        <v>45189</v>
      </c>
      <c r="S355" t="s">
        <v>38</v>
      </c>
      <c r="T355">
        <f t="shared" si="35"/>
        <v>7712.976999999999</v>
      </c>
      <c r="U355">
        <f t="shared" si="36"/>
        <v>5</v>
      </c>
      <c r="V355">
        <f t="shared" si="37"/>
        <v>8068.86</v>
      </c>
      <c r="W355">
        <f t="shared" si="38"/>
        <v>403.44300000000112</v>
      </c>
      <c r="X355">
        <f t="shared" si="39"/>
        <v>4</v>
      </c>
      <c r="Y355" cm="1">
        <f t="array" ref="Y355">_xlfn.IFS(H355=0.1,1,H355=0.15,1,H355=0.05,1,H355=0,0)</f>
        <v>1</v>
      </c>
      <c r="Z355">
        <f t="shared" si="40"/>
        <v>18</v>
      </c>
      <c r="AA355">
        <f t="shared" si="41"/>
        <v>2023</v>
      </c>
    </row>
    <row r="356" spans="1:27" x14ac:dyDescent="0.3">
      <c r="A356" s="2">
        <v>45588</v>
      </c>
      <c r="B356" t="s">
        <v>71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758</v>
      </c>
      <c r="O356" t="s">
        <v>759</v>
      </c>
      <c r="P356">
        <v>37.53</v>
      </c>
      <c r="Q356" s="2">
        <v>45588</v>
      </c>
      <c r="R356" s="2">
        <v>45591</v>
      </c>
      <c r="S356" t="s">
        <v>74</v>
      </c>
      <c r="T356">
        <f t="shared" si="35"/>
        <v>8970.8940000000002</v>
      </c>
      <c r="U356">
        <f t="shared" si="36"/>
        <v>10</v>
      </c>
      <c r="V356">
        <f t="shared" si="37"/>
        <v>9925.9599999999991</v>
      </c>
      <c r="W356">
        <f t="shared" si="38"/>
        <v>992.59599999999955</v>
      </c>
      <c r="X356">
        <f t="shared" si="39"/>
        <v>3</v>
      </c>
      <c r="Y356" cm="1">
        <f t="array" ref="Y356">_xlfn.IFS(H356=0.1,1,H356=0.15,1,H356=0.05,1,H356=0,0)</f>
        <v>1</v>
      </c>
      <c r="Z356">
        <f t="shared" si="40"/>
        <v>17</v>
      </c>
      <c r="AA356">
        <f t="shared" si="41"/>
        <v>2024</v>
      </c>
    </row>
    <row r="357" spans="1:27" x14ac:dyDescent="0.3">
      <c r="A357" s="2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65</v>
      </c>
      <c r="L357" t="s">
        <v>59</v>
      </c>
      <c r="M357">
        <v>1</v>
      </c>
      <c r="N357" t="s">
        <v>760</v>
      </c>
      <c r="O357" t="s">
        <v>761</v>
      </c>
      <c r="P357">
        <v>46.37</v>
      </c>
      <c r="Q357" s="2">
        <v>45049</v>
      </c>
      <c r="R357" s="2">
        <v>45052</v>
      </c>
      <c r="S357" t="s">
        <v>44</v>
      </c>
      <c r="T357">
        <f t="shared" si="35"/>
        <v>222.87</v>
      </c>
      <c r="U357">
        <f t="shared" si="36"/>
        <v>10</v>
      </c>
      <c r="V357">
        <f t="shared" si="37"/>
        <v>195</v>
      </c>
      <c r="W357">
        <f t="shared" si="38"/>
        <v>19.5</v>
      </c>
      <c r="X357">
        <f t="shared" si="39"/>
        <v>3</v>
      </c>
      <c r="Y357" cm="1">
        <f t="array" ref="Y357">_xlfn.IFS(H357=0.1,1,H357=0.15,1,H357=0.05,1,H357=0,0)</f>
        <v>1</v>
      </c>
      <c r="Z357">
        <f t="shared" si="40"/>
        <v>2</v>
      </c>
      <c r="AA357">
        <f t="shared" si="41"/>
        <v>2023</v>
      </c>
    </row>
    <row r="358" spans="1:27" x14ac:dyDescent="0.3">
      <c r="A358" s="2">
        <v>45734</v>
      </c>
      <c r="B358" t="s">
        <v>39</v>
      </c>
      <c r="C358" t="s">
        <v>132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65</v>
      </c>
      <c r="L358" t="s">
        <v>25</v>
      </c>
      <c r="M358">
        <v>1</v>
      </c>
      <c r="N358" t="s">
        <v>762</v>
      </c>
      <c r="O358" t="s">
        <v>150</v>
      </c>
      <c r="P358">
        <v>22.13</v>
      </c>
      <c r="Q358" s="2">
        <v>45734</v>
      </c>
      <c r="R358" s="2">
        <v>45741</v>
      </c>
      <c r="S358" t="s">
        <v>44</v>
      </c>
      <c r="T358">
        <f t="shared" si="35"/>
        <v>5745.8739999999998</v>
      </c>
      <c r="U358">
        <f t="shared" si="36"/>
        <v>15</v>
      </c>
      <c r="V358">
        <f t="shared" si="37"/>
        <v>6732.64</v>
      </c>
      <c r="W358">
        <f t="shared" si="38"/>
        <v>1009.8960000000006</v>
      </c>
      <c r="X358">
        <f t="shared" si="39"/>
        <v>7</v>
      </c>
      <c r="Y358" cm="1">
        <f t="array" ref="Y358">_xlfn.IFS(H358=0.1,1,H358=0.15,1,H358=0.05,1,H358=0,0)</f>
        <v>1</v>
      </c>
      <c r="Z358">
        <f t="shared" si="40"/>
        <v>16</v>
      </c>
      <c r="AA358">
        <f t="shared" si="41"/>
        <v>2025</v>
      </c>
    </row>
    <row r="359" spans="1:27" x14ac:dyDescent="0.3">
      <c r="A359" s="2">
        <v>45163</v>
      </c>
      <c r="B359" t="s">
        <v>71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6671.3399999999992</v>
      </c>
      <c r="K359" t="s">
        <v>58</v>
      </c>
      <c r="L359" t="s">
        <v>25</v>
      </c>
      <c r="M359">
        <v>0</v>
      </c>
      <c r="N359" t="s">
        <v>763</v>
      </c>
      <c r="O359" t="s">
        <v>764</v>
      </c>
      <c r="P359">
        <v>10.57</v>
      </c>
      <c r="Q359" s="2">
        <v>45163</v>
      </c>
      <c r="R359" s="2">
        <v>45165</v>
      </c>
      <c r="S359" t="s">
        <v>74</v>
      </c>
      <c r="T359">
        <f t="shared" si="35"/>
        <v>6681.9099999999989</v>
      </c>
      <c r="U359">
        <f t="shared" si="36"/>
        <v>0</v>
      </c>
      <c r="V359">
        <f t="shared" si="37"/>
        <v>6671.3399999999992</v>
      </c>
      <c r="W359">
        <f t="shared" si="38"/>
        <v>0</v>
      </c>
      <c r="X359">
        <f t="shared" si="39"/>
        <v>2</v>
      </c>
      <c r="Y359" cm="1">
        <f t="array" ref="Y359">_xlfn.IFS(H359=0.1,1,H359=0.15,1,H359=0.05,1,H359=0,0)</f>
        <v>0</v>
      </c>
      <c r="Z359">
        <f t="shared" si="40"/>
        <v>0</v>
      </c>
      <c r="AA359">
        <f t="shared" si="41"/>
        <v>2023</v>
      </c>
    </row>
    <row r="360" spans="1:27" x14ac:dyDescent="0.3">
      <c r="A360" s="2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65</v>
      </c>
      <c r="L360" t="s">
        <v>41</v>
      </c>
      <c r="M360">
        <v>1</v>
      </c>
      <c r="N360" t="s">
        <v>765</v>
      </c>
      <c r="O360" t="s">
        <v>766</v>
      </c>
      <c r="P360">
        <v>11.17</v>
      </c>
      <c r="Q360" s="2">
        <v>45120</v>
      </c>
      <c r="R360" s="2">
        <v>45124</v>
      </c>
      <c r="S360" t="s">
        <v>44</v>
      </c>
      <c r="T360">
        <f t="shared" si="35"/>
        <v>8145.6140000000005</v>
      </c>
      <c r="U360">
        <f t="shared" si="36"/>
        <v>10</v>
      </c>
      <c r="V360">
        <f t="shared" si="37"/>
        <v>9037.16</v>
      </c>
      <c r="W360">
        <f t="shared" si="38"/>
        <v>903.71599999999944</v>
      </c>
      <c r="X360">
        <f t="shared" si="39"/>
        <v>4</v>
      </c>
      <c r="Y360" cm="1">
        <f t="array" ref="Y360">_xlfn.IFS(H360=0.1,1,H360=0.15,1,H360=0.05,1,H360=0,0)</f>
        <v>1</v>
      </c>
      <c r="Z360">
        <f t="shared" si="40"/>
        <v>19</v>
      </c>
      <c r="AA360">
        <f t="shared" si="41"/>
        <v>2023</v>
      </c>
    </row>
    <row r="361" spans="1:27" x14ac:dyDescent="0.3">
      <c r="A361" s="2">
        <v>45713</v>
      </c>
      <c r="B361" t="s">
        <v>39</v>
      </c>
      <c r="C361" t="s">
        <v>81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767</v>
      </c>
      <c r="O361" t="s">
        <v>768</v>
      </c>
      <c r="P361">
        <v>7.9</v>
      </c>
      <c r="Q361" s="2">
        <v>45713</v>
      </c>
      <c r="R361" s="2">
        <v>45722</v>
      </c>
      <c r="S361" t="s">
        <v>44</v>
      </c>
      <c r="T361">
        <f t="shared" si="35"/>
        <v>2797.4780000000001</v>
      </c>
      <c r="U361">
        <f t="shared" si="36"/>
        <v>10</v>
      </c>
      <c r="V361">
        <f t="shared" si="37"/>
        <v>3098.42</v>
      </c>
      <c r="W361">
        <f t="shared" si="38"/>
        <v>309.8420000000001</v>
      </c>
      <c r="X361">
        <f t="shared" si="39"/>
        <v>9</v>
      </c>
      <c r="Y361" cm="1">
        <f t="array" ref="Y361">_xlfn.IFS(H361=0.1,1,H361=0.15,1,H361=0.05,1,H361=0,0)</f>
        <v>1</v>
      </c>
      <c r="Z361">
        <f t="shared" si="40"/>
        <v>13</v>
      </c>
      <c r="AA361">
        <f t="shared" si="41"/>
        <v>2025</v>
      </c>
    </row>
    <row r="362" spans="1:27" x14ac:dyDescent="0.3">
      <c r="A362" s="2">
        <v>45761</v>
      </c>
      <c r="B362" t="s">
        <v>45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769</v>
      </c>
      <c r="O362" t="s">
        <v>770</v>
      </c>
      <c r="P362">
        <v>41.5</v>
      </c>
      <c r="Q362" s="2">
        <v>45761</v>
      </c>
      <c r="R362" s="2">
        <v>45764</v>
      </c>
      <c r="S362" t="s">
        <v>50</v>
      </c>
      <c r="T362">
        <f t="shared" si="35"/>
        <v>3632.8780000000002</v>
      </c>
      <c r="U362">
        <f t="shared" si="36"/>
        <v>10</v>
      </c>
      <c r="V362">
        <f t="shared" si="37"/>
        <v>3990.4199999999996</v>
      </c>
      <c r="W362">
        <f t="shared" si="38"/>
        <v>399.04199999999946</v>
      </c>
      <c r="X362">
        <f t="shared" si="39"/>
        <v>3</v>
      </c>
      <c r="Y362" cm="1">
        <f t="array" ref="Y362">_xlfn.IFS(H362=0.1,1,H362=0.15,1,H362=0.05,1,H362=0,0)</f>
        <v>1</v>
      </c>
      <c r="Z362">
        <f t="shared" si="40"/>
        <v>14</v>
      </c>
      <c r="AA362">
        <f t="shared" si="41"/>
        <v>2025</v>
      </c>
    </row>
    <row r="363" spans="1:27" x14ac:dyDescent="0.3">
      <c r="A363" s="2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771</v>
      </c>
      <c r="O363" t="s">
        <v>772</v>
      </c>
      <c r="P363">
        <v>10.58</v>
      </c>
      <c r="Q363" s="2">
        <v>45823</v>
      </c>
      <c r="R363" s="2">
        <v>45826</v>
      </c>
      <c r="S363" t="s">
        <v>50</v>
      </c>
      <c r="T363">
        <f t="shared" si="35"/>
        <v>36.799999999999997</v>
      </c>
      <c r="U363">
        <f t="shared" si="36"/>
        <v>5</v>
      </c>
      <c r="V363">
        <f t="shared" si="37"/>
        <v>27.599999999999998</v>
      </c>
      <c r="W363">
        <f t="shared" si="38"/>
        <v>1.379999999999999</v>
      </c>
      <c r="X363">
        <f t="shared" si="39"/>
        <v>3</v>
      </c>
      <c r="Y363" cm="1">
        <f t="array" ref="Y363">_xlfn.IFS(H363=0.1,1,H363=0.15,1,H363=0.05,1,H363=0,0)</f>
        <v>1</v>
      </c>
      <c r="Z363">
        <f t="shared" si="40"/>
        <v>5</v>
      </c>
      <c r="AA363">
        <f t="shared" si="41"/>
        <v>2025</v>
      </c>
    </row>
    <row r="364" spans="1:27" x14ac:dyDescent="0.3">
      <c r="A364" s="2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773</v>
      </c>
      <c r="O364" t="s">
        <v>774</v>
      </c>
      <c r="P364">
        <v>20.39</v>
      </c>
      <c r="Q364" s="2">
        <v>45587</v>
      </c>
      <c r="R364" s="2">
        <v>45592</v>
      </c>
      <c r="S364" t="s">
        <v>44</v>
      </c>
      <c r="T364">
        <f t="shared" si="35"/>
        <v>6439.64</v>
      </c>
      <c r="U364">
        <f t="shared" si="36"/>
        <v>10</v>
      </c>
      <c r="V364">
        <f t="shared" si="37"/>
        <v>7132.5</v>
      </c>
      <c r="W364">
        <f t="shared" si="38"/>
        <v>713.25</v>
      </c>
      <c r="X364">
        <f t="shared" si="39"/>
        <v>5</v>
      </c>
      <c r="Y364" cm="1">
        <f t="array" ref="Y364">_xlfn.IFS(H364=0.1,1,H364=0.15,1,H364=0.05,1,H364=0,0)</f>
        <v>1</v>
      </c>
      <c r="Z364">
        <f t="shared" si="40"/>
        <v>18</v>
      </c>
      <c r="AA364">
        <f t="shared" si="41"/>
        <v>2024</v>
      </c>
    </row>
    <row r="365" spans="1:27" x14ac:dyDescent="0.3">
      <c r="A365" s="2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L365" t="s">
        <v>59</v>
      </c>
      <c r="M365">
        <v>0</v>
      </c>
      <c r="N365" t="s">
        <v>775</v>
      </c>
      <c r="O365" t="s">
        <v>776</v>
      </c>
      <c r="P365">
        <v>49.79</v>
      </c>
      <c r="Q365" s="2">
        <v>45097</v>
      </c>
      <c r="R365" s="2">
        <v>45102</v>
      </c>
      <c r="S365" t="s">
        <v>38</v>
      </c>
      <c r="T365">
        <f t="shared" si="35"/>
        <v>2467.73</v>
      </c>
      <c r="U365">
        <f t="shared" si="36"/>
        <v>5</v>
      </c>
      <c r="V365">
        <f t="shared" si="37"/>
        <v>2545.2000000000003</v>
      </c>
      <c r="W365">
        <f t="shared" si="38"/>
        <v>127.26000000000022</v>
      </c>
      <c r="X365">
        <f t="shared" si="39"/>
        <v>5</v>
      </c>
      <c r="Y365" cm="1">
        <f t="array" ref="Y365">_xlfn.IFS(H365=0.1,1,H365=0.15,1,H365=0.05,1,H365=0,0)</f>
        <v>1</v>
      </c>
      <c r="Z365">
        <f t="shared" si="40"/>
        <v>9</v>
      </c>
      <c r="AA365">
        <f t="shared" si="41"/>
        <v>2023</v>
      </c>
    </row>
    <row r="366" spans="1:27" x14ac:dyDescent="0.3">
      <c r="A366" s="2">
        <v>45721</v>
      </c>
      <c r="B366" t="s">
        <v>29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L366" t="s">
        <v>59</v>
      </c>
      <c r="M366">
        <v>0</v>
      </c>
      <c r="N366" t="s">
        <v>777</v>
      </c>
      <c r="O366" t="s">
        <v>778</v>
      </c>
      <c r="P366">
        <v>39.28</v>
      </c>
      <c r="Q366" s="2">
        <v>45721</v>
      </c>
      <c r="R366" s="2">
        <v>45727</v>
      </c>
      <c r="S366" t="s">
        <v>38</v>
      </c>
      <c r="T366">
        <f t="shared" si="35"/>
        <v>3034.2310000000002</v>
      </c>
      <c r="U366">
        <f t="shared" si="36"/>
        <v>5</v>
      </c>
      <c r="V366">
        <f t="shared" si="37"/>
        <v>3152.58</v>
      </c>
      <c r="W366">
        <f t="shared" si="38"/>
        <v>157.62899999999991</v>
      </c>
      <c r="X366">
        <f t="shared" si="39"/>
        <v>6</v>
      </c>
      <c r="Y366" cm="1">
        <f t="array" ref="Y366">_xlfn.IFS(H366=0.1,1,H366=0.15,1,H366=0.05,1,H366=0,0)</f>
        <v>1</v>
      </c>
      <c r="Z366">
        <f t="shared" si="40"/>
        <v>6</v>
      </c>
      <c r="AA366">
        <f t="shared" si="41"/>
        <v>2025</v>
      </c>
    </row>
    <row r="367" spans="1:27" x14ac:dyDescent="0.3">
      <c r="A367" s="2">
        <v>45227</v>
      </c>
      <c r="B367" t="s">
        <v>71</v>
      </c>
      <c r="C367" t="s">
        <v>81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62</v>
      </c>
      <c r="L367" t="s">
        <v>59</v>
      </c>
      <c r="M367">
        <v>0</v>
      </c>
      <c r="N367" t="s">
        <v>779</v>
      </c>
      <c r="O367" t="s">
        <v>780</v>
      </c>
      <c r="P367">
        <v>48.77</v>
      </c>
      <c r="Q367" s="2">
        <v>45227</v>
      </c>
      <c r="R367" s="2">
        <v>45229</v>
      </c>
      <c r="S367" t="s">
        <v>74</v>
      </c>
      <c r="T367">
        <f t="shared" si="35"/>
        <v>1772.3150000000001</v>
      </c>
      <c r="U367">
        <f t="shared" si="36"/>
        <v>10</v>
      </c>
      <c r="V367">
        <f t="shared" si="37"/>
        <v>1915.05</v>
      </c>
      <c r="W367">
        <f t="shared" si="38"/>
        <v>191.50499999999988</v>
      </c>
      <c r="X367">
        <f t="shared" si="39"/>
        <v>2</v>
      </c>
      <c r="Y367" cm="1">
        <f t="array" ref="Y367">_xlfn.IFS(H367=0.1,1,H367=0.15,1,H367=0.05,1,H367=0,0)</f>
        <v>1</v>
      </c>
      <c r="Z367">
        <f t="shared" si="40"/>
        <v>15</v>
      </c>
      <c r="AA367">
        <f t="shared" si="41"/>
        <v>2023</v>
      </c>
    </row>
    <row r="368" spans="1:27" x14ac:dyDescent="0.3">
      <c r="A368" s="2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781</v>
      </c>
      <c r="O368" t="s">
        <v>782</v>
      </c>
      <c r="P368">
        <v>13.33</v>
      </c>
      <c r="Q368" s="2">
        <v>45735</v>
      </c>
      <c r="R368" s="2">
        <v>45742</v>
      </c>
      <c r="S368" t="s">
        <v>50</v>
      </c>
      <c r="T368">
        <f t="shared" si="35"/>
        <v>8279.9</v>
      </c>
      <c r="U368">
        <f t="shared" si="36"/>
        <v>5</v>
      </c>
      <c r="V368">
        <f t="shared" si="37"/>
        <v>8700.6</v>
      </c>
      <c r="W368">
        <f t="shared" si="38"/>
        <v>435.03000000000065</v>
      </c>
      <c r="X368">
        <f t="shared" si="39"/>
        <v>7</v>
      </c>
      <c r="Y368" cm="1">
        <f t="array" ref="Y368">_xlfn.IFS(H368=0.1,1,H368=0.15,1,H368=0.05,1,H368=0,0)</f>
        <v>1</v>
      </c>
      <c r="Z368">
        <f t="shared" si="40"/>
        <v>17</v>
      </c>
      <c r="AA368">
        <f t="shared" si="41"/>
        <v>2025</v>
      </c>
    </row>
    <row r="369" spans="1:27" x14ac:dyDescent="0.3">
      <c r="A369" s="2">
        <v>45144</v>
      </c>
      <c r="B369" t="s">
        <v>71</v>
      </c>
      <c r="C369" t="s">
        <v>81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68</v>
      </c>
      <c r="J369">
        <v>2112.268</v>
      </c>
      <c r="K369" t="s">
        <v>65</v>
      </c>
      <c r="L369" t="s">
        <v>25</v>
      </c>
      <c r="M369">
        <v>0</v>
      </c>
      <c r="N369" t="s">
        <v>783</v>
      </c>
      <c r="O369" t="s">
        <v>784</v>
      </c>
      <c r="P369">
        <v>28.92</v>
      </c>
      <c r="Q369" s="2">
        <v>45144</v>
      </c>
      <c r="R369" s="2">
        <v>45146</v>
      </c>
      <c r="S369" t="s">
        <v>74</v>
      </c>
      <c r="T369">
        <f t="shared" si="35"/>
        <v>2141.1880000000001</v>
      </c>
      <c r="U369">
        <f t="shared" si="36"/>
        <v>5</v>
      </c>
      <c r="V369">
        <f t="shared" si="37"/>
        <v>2223.44</v>
      </c>
      <c r="W369">
        <f t="shared" si="38"/>
        <v>111.17200000000003</v>
      </c>
      <c r="X369">
        <f t="shared" si="39"/>
        <v>2</v>
      </c>
      <c r="Y369" cm="1">
        <f t="array" ref="Y369">_xlfn.IFS(H369=0.1,1,H369=0.15,1,H369=0.05,1,H369=0,0)</f>
        <v>1</v>
      </c>
      <c r="Z369">
        <f t="shared" si="40"/>
        <v>4</v>
      </c>
      <c r="AA369">
        <f t="shared" si="41"/>
        <v>2023</v>
      </c>
    </row>
    <row r="370" spans="1:27" x14ac:dyDescent="0.3">
      <c r="A370" s="2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62</v>
      </c>
      <c r="L370" t="s">
        <v>41</v>
      </c>
      <c r="M370">
        <v>1</v>
      </c>
      <c r="N370" t="s">
        <v>785</v>
      </c>
      <c r="O370" t="s">
        <v>786</v>
      </c>
      <c r="P370">
        <v>41.61</v>
      </c>
      <c r="Q370" s="2">
        <v>45546</v>
      </c>
      <c r="R370" s="2">
        <v>45554</v>
      </c>
      <c r="S370" t="s">
        <v>50</v>
      </c>
      <c r="T370">
        <f t="shared" si="35"/>
        <v>2931.3700000000003</v>
      </c>
      <c r="U370">
        <f t="shared" si="36"/>
        <v>5</v>
      </c>
      <c r="V370">
        <f t="shared" si="37"/>
        <v>3040.8</v>
      </c>
      <c r="W370">
        <f t="shared" si="38"/>
        <v>152.03999999999996</v>
      </c>
      <c r="X370">
        <f t="shared" si="39"/>
        <v>8</v>
      </c>
      <c r="Y370" cm="1">
        <f t="array" ref="Y370">_xlfn.IFS(H370=0.1,1,H370=0.15,1,H370=0.05,1,H370=0,0)</f>
        <v>1</v>
      </c>
      <c r="Z370">
        <f t="shared" si="40"/>
        <v>15</v>
      </c>
      <c r="AA370">
        <f t="shared" si="41"/>
        <v>2024</v>
      </c>
    </row>
    <row r="371" spans="1:27" x14ac:dyDescent="0.3">
      <c r="A371" s="2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787</v>
      </c>
      <c r="O371" t="s">
        <v>788</v>
      </c>
      <c r="P371">
        <v>41.98</v>
      </c>
      <c r="Q371" s="2">
        <v>45665</v>
      </c>
      <c r="R371" s="2">
        <v>45669</v>
      </c>
      <c r="S371" t="s">
        <v>50</v>
      </c>
      <c r="T371">
        <f t="shared" si="35"/>
        <v>1456.78</v>
      </c>
      <c r="U371">
        <f t="shared" si="36"/>
        <v>0</v>
      </c>
      <c r="V371">
        <f t="shared" si="37"/>
        <v>1414.8</v>
      </c>
      <c r="W371">
        <f t="shared" si="38"/>
        <v>0</v>
      </c>
      <c r="X371">
        <f t="shared" si="39"/>
        <v>4</v>
      </c>
      <c r="Y371" cm="1">
        <f t="array" ref="Y371">_xlfn.IFS(H371=0.1,1,H371=0.15,1,H371=0.05,1,H371=0,0)</f>
        <v>0</v>
      </c>
      <c r="Z371">
        <f t="shared" si="40"/>
        <v>0</v>
      </c>
      <c r="AA371">
        <f t="shared" si="41"/>
        <v>2025</v>
      </c>
    </row>
    <row r="372" spans="1:27" x14ac:dyDescent="0.3">
      <c r="A372" s="2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62</v>
      </c>
      <c r="L372" t="s">
        <v>59</v>
      </c>
      <c r="M372">
        <v>1</v>
      </c>
      <c r="N372" t="s">
        <v>789</v>
      </c>
      <c r="O372" t="s">
        <v>790</v>
      </c>
      <c r="P372">
        <v>13.17</v>
      </c>
      <c r="Q372" s="2">
        <v>45516</v>
      </c>
      <c r="R372" s="2">
        <v>45518</v>
      </c>
      <c r="S372" t="s">
        <v>50</v>
      </c>
      <c r="T372">
        <f t="shared" si="35"/>
        <v>461.92</v>
      </c>
      <c r="U372">
        <f t="shared" si="36"/>
        <v>0</v>
      </c>
      <c r="V372">
        <f t="shared" si="37"/>
        <v>447.75</v>
      </c>
      <c r="W372">
        <f t="shared" si="38"/>
        <v>0</v>
      </c>
      <c r="X372">
        <f t="shared" si="39"/>
        <v>2</v>
      </c>
      <c r="Y372" cm="1">
        <f t="array" ref="Y372">_xlfn.IFS(H372=0.1,1,H372=0.15,1,H372=0.05,1,H372=0,0)</f>
        <v>0</v>
      </c>
      <c r="Z372">
        <f t="shared" si="40"/>
        <v>0</v>
      </c>
      <c r="AA372">
        <f t="shared" si="41"/>
        <v>2024</v>
      </c>
    </row>
    <row r="373" spans="1:27" x14ac:dyDescent="0.3">
      <c r="A373" s="2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791</v>
      </c>
      <c r="O373" t="s">
        <v>792</v>
      </c>
      <c r="P373">
        <v>19.440000000000001</v>
      </c>
      <c r="Q373" s="2">
        <v>45015</v>
      </c>
      <c r="R373" s="2">
        <v>45020</v>
      </c>
      <c r="S373" t="s">
        <v>44</v>
      </c>
      <c r="T373">
        <f t="shared" si="35"/>
        <v>2694.5639999999999</v>
      </c>
      <c r="U373">
        <f t="shared" si="36"/>
        <v>10</v>
      </c>
      <c r="V373">
        <f t="shared" si="37"/>
        <v>2972.36</v>
      </c>
      <c r="W373">
        <f t="shared" si="38"/>
        <v>297.23600000000033</v>
      </c>
      <c r="X373">
        <f t="shared" si="39"/>
        <v>5</v>
      </c>
      <c r="Y373" cm="1">
        <f t="array" ref="Y373">_xlfn.IFS(H373=0.1,1,H373=0.15,1,H373=0.05,1,H373=0,0)</f>
        <v>1</v>
      </c>
      <c r="Z373">
        <f t="shared" si="40"/>
        <v>19</v>
      </c>
      <c r="AA373">
        <f t="shared" si="41"/>
        <v>2023</v>
      </c>
    </row>
    <row r="374" spans="1:27" x14ac:dyDescent="0.3">
      <c r="A374" s="2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793</v>
      </c>
      <c r="O374" t="s">
        <v>794</v>
      </c>
      <c r="P374">
        <v>48.13</v>
      </c>
      <c r="Q374" s="2">
        <v>44958</v>
      </c>
      <c r="R374" s="2">
        <v>44966</v>
      </c>
      <c r="S374" t="s">
        <v>50</v>
      </c>
      <c r="T374">
        <f t="shared" si="35"/>
        <v>1740.45</v>
      </c>
      <c r="U374">
        <f t="shared" si="36"/>
        <v>0</v>
      </c>
      <c r="V374">
        <f t="shared" si="37"/>
        <v>1692.32</v>
      </c>
      <c r="W374">
        <f t="shared" si="38"/>
        <v>0</v>
      </c>
      <c r="X374">
        <f t="shared" si="39"/>
        <v>8</v>
      </c>
      <c r="Y374" cm="1">
        <f t="array" ref="Y374">_xlfn.IFS(H374=0.1,1,H374=0.15,1,H374=0.05,1,H374=0,0)</f>
        <v>0</v>
      </c>
      <c r="Z374">
        <f t="shared" si="40"/>
        <v>0</v>
      </c>
      <c r="AA374">
        <f t="shared" si="41"/>
        <v>2023</v>
      </c>
    </row>
    <row r="375" spans="1:27" x14ac:dyDescent="0.3">
      <c r="A375" s="2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795</v>
      </c>
      <c r="O375" t="s">
        <v>258</v>
      </c>
      <c r="P375">
        <v>19.739999999999998</v>
      </c>
      <c r="Q375" s="2">
        <v>45765</v>
      </c>
      <c r="R375" s="2">
        <v>45774</v>
      </c>
      <c r="S375" t="s">
        <v>44</v>
      </c>
      <c r="T375">
        <f t="shared" si="35"/>
        <v>3429.54</v>
      </c>
      <c r="U375">
        <f t="shared" si="36"/>
        <v>0</v>
      </c>
      <c r="V375">
        <f t="shared" si="37"/>
        <v>3409.8</v>
      </c>
      <c r="W375">
        <f t="shared" si="38"/>
        <v>0</v>
      </c>
      <c r="X375">
        <f t="shared" si="39"/>
        <v>9</v>
      </c>
      <c r="Y375" cm="1">
        <f t="array" ref="Y375">_xlfn.IFS(H375=0.1,1,H375=0.15,1,H375=0.05,1,H375=0,0)</f>
        <v>0</v>
      </c>
      <c r="Z375">
        <f t="shared" si="40"/>
        <v>0</v>
      </c>
      <c r="AA375">
        <f t="shared" si="41"/>
        <v>2025</v>
      </c>
    </row>
    <row r="376" spans="1:27" x14ac:dyDescent="0.3">
      <c r="A376" s="2">
        <v>45745</v>
      </c>
      <c r="B376" t="s">
        <v>45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L376" t="s">
        <v>59</v>
      </c>
      <c r="M376">
        <v>0</v>
      </c>
      <c r="N376" t="s">
        <v>796</v>
      </c>
      <c r="O376" t="s">
        <v>797</v>
      </c>
      <c r="P376">
        <v>34.130000000000003</v>
      </c>
      <c r="Q376" s="2">
        <v>45745</v>
      </c>
      <c r="R376" s="2">
        <v>45749</v>
      </c>
      <c r="S376" t="s">
        <v>50</v>
      </c>
      <c r="T376">
        <f t="shared" si="35"/>
        <v>1515.8630000000001</v>
      </c>
      <c r="U376">
        <f t="shared" si="36"/>
        <v>10</v>
      </c>
      <c r="V376">
        <f t="shared" si="37"/>
        <v>1646.37</v>
      </c>
      <c r="W376">
        <f t="shared" si="38"/>
        <v>164.63699999999994</v>
      </c>
      <c r="X376">
        <f t="shared" si="39"/>
        <v>4</v>
      </c>
      <c r="Y376" cm="1">
        <f t="array" ref="Y376">_xlfn.IFS(H376=0.1,1,H376=0.15,1,H376=0.05,1,H376=0,0)</f>
        <v>1</v>
      </c>
      <c r="Z376">
        <f t="shared" si="40"/>
        <v>11</v>
      </c>
      <c r="AA376">
        <f t="shared" si="41"/>
        <v>2025</v>
      </c>
    </row>
    <row r="377" spans="1:27" x14ac:dyDescent="0.3">
      <c r="A377" s="2">
        <v>45407</v>
      </c>
      <c r="B377" t="s">
        <v>19</v>
      </c>
      <c r="C377" t="s">
        <v>81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62</v>
      </c>
      <c r="L377" t="s">
        <v>25</v>
      </c>
      <c r="M377">
        <v>0</v>
      </c>
      <c r="N377" t="s">
        <v>798</v>
      </c>
      <c r="O377" t="s">
        <v>799</v>
      </c>
      <c r="P377">
        <v>39.1</v>
      </c>
      <c r="Q377" s="2">
        <v>45407</v>
      </c>
      <c r="R377" s="2">
        <v>45410</v>
      </c>
      <c r="S377" t="s">
        <v>28</v>
      </c>
      <c r="T377">
        <f t="shared" si="35"/>
        <v>195.304</v>
      </c>
      <c r="U377">
        <f t="shared" si="36"/>
        <v>10</v>
      </c>
      <c r="V377">
        <f t="shared" si="37"/>
        <v>173.56</v>
      </c>
      <c r="W377">
        <f t="shared" si="38"/>
        <v>17.355999999999995</v>
      </c>
      <c r="X377">
        <f t="shared" si="39"/>
        <v>3</v>
      </c>
      <c r="Y377" cm="1">
        <f t="array" ref="Y377">_xlfn.IFS(H377=0.1,1,H377=0.15,1,H377=0.05,1,H377=0,0)</f>
        <v>1</v>
      </c>
      <c r="Z377">
        <f t="shared" si="40"/>
        <v>1</v>
      </c>
      <c r="AA377">
        <f t="shared" si="41"/>
        <v>2024</v>
      </c>
    </row>
    <row r="378" spans="1:27" x14ac:dyDescent="0.3">
      <c r="A378" s="2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800</v>
      </c>
      <c r="O378" t="s">
        <v>801</v>
      </c>
      <c r="P378">
        <v>23.7</v>
      </c>
      <c r="Q378" s="2">
        <v>45557</v>
      </c>
      <c r="R378" s="2">
        <v>45562</v>
      </c>
      <c r="S378" t="s">
        <v>38</v>
      </c>
      <c r="T378">
        <f t="shared" si="35"/>
        <v>2348.2075</v>
      </c>
      <c r="U378">
        <f t="shared" si="36"/>
        <v>5</v>
      </c>
      <c r="V378">
        <f t="shared" si="37"/>
        <v>2446.85</v>
      </c>
      <c r="W378">
        <f t="shared" si="38"/>
        <v>122.34249999999975</v>
      </c>
      <c r="X378">
        <f t="shared" si="39"/>
        <v>5</v>
      </c>
      <c r="Y378" cm="1">
        <f t="array" ref="Y378">_xlfn.IFS(H378=0.1,1,H378=0.15,1,H378=0.05,1,H378=0,0)</f>
        <v>1</v>
      </c>
      <c r="Z378">
        <f t="shared" si="40"/>
        <v>7</v>
      </c>
      <c r="AA378">
        <f t="shared" si="41"/>
        <v>2024</v>
      </c>
    </row>
    <row r="379" spans="1:27" x14ac:dyDescent="0.3">
      <c r="A379" s="2">
        <v>45143</v>
      </c>
      <c r="B379" t="s">
        <v>45</v>
      </c>
      <c r="C379" t="s">
        <v>81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802</v>
      </c>
      <c r="O379" t="s">
        <v>803</v>
      </c>
      <c r="P379">
        <v>44.6</v>
      </c>
      <c r="Q379" s="2">
        <v>45143</v>
      </c>
      <c r="R379" s="2">
        <v>45152</v>
      </c>
      <c r="S379" t="s">
        <v>50</v>
      </c>
      <c r="T379">
        <f t="shared" si="35"/>
        <v>2251.86</v>
      </c>
      <c r="U379">
        <f t="shared" si="36"/>
        <v>0</v>
      </c>
      <c r="V379">
        <f t="shared" si="37"/>
        <v>2206.2599999999998</v>
      </c>
      <c r="W379">
        <f t="shared" si="38"/>
        <v>0</v>
      </c>
      <c r="X379">
        <f t="shared" si="39"/>
        <v>9</v>
      </c>
      <c r="Y379" cm="1">
        <f t="array" ref="Y379">_xlfn.IFS(H379=0.1,1,H379=0.15,1,H379=0.05,1,H379=0,0)</f>
        <v>0</v>
      </c>
      <c r="Z379">
        <f t="shared" si="40"/>
        <v>0</v>
      </c>
      <c r="AA379">
        <f t="shared" si="41"/>
        <v>2023</v>
      </c>
    </row>
    <row r="380" spans="1:27" x14ac:dyDescent="0.3">
      <c r="A380" s="2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68</v>
      </c>
      <c r="J380">
        <v>401.92599999999999</v>
      </c>
      <c r="K380" t="s">
        <v>34</v>
      </c>
      <c r="L380" t="s">
        <v>41</v>
      </c>
      <c r="M380">
        <v>0</v>
      </c>
      <c r="N380" t="s">
        <v>804</v>
      </c>
      <c r="O380" t="s">
        <v>805</v>
      </c>
      <c r="P380">
        <v>31.75</v>
      </c>
      <c r="Q380" s="2">
        <v>45450</v>
      </c>
      <c r="R380" s="2">
        <v>45454</v>
      </c>
      <c r="S380" t="s">
        <v>38</v>
      </c>
      <c r="T380">
        <f t="shared" si="35"/>
        <v>433.67599999999999</v>
      </c>
      <c r="U380">
        <f t="shared" si="36"/>
        <v>5</v>
      </c>
      <c r="V380">
        <f t="shared" si="37"/>
        <v>423.08</v>
      </c>
      <c r="W380">
        <f t="shared" si="38"/>
        <v>21.153999999999996</v>
      </c>
      <c r="X380">
        <f t="shared" si="39"/>
        <v>4</v>
      </c>
      <c r="Y380" cm="1">
        <f t="array" ref="Y380">_xlfn.IFS(H380=0.1,1,H380=0.15,1,H380=0.05,1,H380=0,0)</f>
        <v>1</v>
      </c>
      <c r="Z380">
        <f t="shared" si="40"/>
        <v>1</v>
      </c>
      <c r="AA380">
        <f t="shared" si="41"/>
        <v>2024</v>
      </c>
    </row>
    <row r="381" spans="1:27" x14ac:dyDescent="0.3">
      <c r="A381" s="2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806</v>
      </c>
      <c r="O381" t="s">
        <v>807</v>
      </c>
      <c r="P381">
        <v>45.74</v>
      </c>
      <c r="Q381" s="2">
        <v>45801</v>
      </c>
      <c r="R381" s="2">
        <v>45807</v>
      </c>
      <c r="S381" t="s">
        <v>28</v>
      </c>
      <c r="T381">
        <f t="shared" si="35"/>
        <v>5501.5329999999994</v>
      </c>
      <c r="U381">
        <f t="shared" si="36"/>
        <v>15</v>
      </c>
      <c r="V381">
        <f t="shared" si="37"/>
        <v>6418.58</v>
      </c>
      <c r="W381">
        <f t="shared" si="38"/>
        <v>962.78700000000026</v>
      </c>
      <c r="X381">
        <f t="shared" si="39"/>
        <v>6</v>
      </c>
      <c r="Y381" cm="1">
        <f t="array" ref="Y381">_xlfn.IFS(H381=0.1,1,H381=0.15,1,H381=0.05,1,H381=0,0)</f>
        <v>1</v>
      </c>
      <c r="Z381">
        <f t="shared" si="40"/>
        <v>19</v>
      </c>
      <c r="AA381">
        <f t="shared" si="41"/>
        <v>2025</v>
      </c>
    </row>
    <row r="382" spans="1:27" x14ac:dyDescent="0.3">
      <c r="A382" s="2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65</v>
      </c>
      <c r="L382" t="s">
        <v>25</v>
      </c>
      <c r="M382">
        <v>0</v>
      </c>
      <c r="N382" t="s">
        <v>808</v>
      </c>
      <c r="O382" t="s">
        <v>809</v>
      </c>
      <c r="P382">
        <v>8.92</v>
      </c>
      <c r="Q382" s="2">
        <v>45491</v>
      </c>
      <c r="R382" s="2">
        <v>45498</v>
      </c>
      <c r="S382" t="s">
        <v>38</v>
      </c>
      <c r="T382">
        <f t="shared" si="35"/>
        <v>2156.2750000000001</v>
      </c>
      <c r="U382">
        <f t="shared" si="36"/>
        <v>15</v>
      </c>
      <c r="V382">
        <f t="shared" si="37"/>
        <v>2526.3000000000002</v>
      </c>
      <c r="W382">
        <f t="shared" si="38"/>
        <v>378.94500000000016</v>
      </c>
      <c r="X382">
        <f t="shared" si="39"/>
        <v>7</v>
      </c>
      <c r="Y382" cm="1">
        <f t="array" ref="Y382">_xlfn.IFS(H382=0.1,1,H382=0.15,1,H382=0.05,1,H382=0,0)</f>
        <v>1</v>
      </c>
      <c r="Z382">
        <f t="shared" si="40"/>
        <v>10</v>
      </c>
      <c r="AA382">
        <f t="shared" si="41"/>
        <v>2024</v>
      </c>
    </row>
    <row r="383" spans="1:27" x14ac:dyDescent="0.3">
      <c r="A383" s="2">
        <v>45487</v>
      </c>
      <c r="B383" t="s">
        <v>71</v>
      </c>
      <c r="C383" t="s">
        <v>81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65</v>
      </c>
      <c r="L383" t="s">
        <v>41</v>
      </c>
      <c r="M383">
        <v>0</v>
      </c>
      <c r="N383" t="s">
        <v>810</v>
      </c>
      <c r="O383" t="s">
        <v>811</v>
      </c>
      <c r="P383">
        <v>11.13</v>
      </c>
      <c r="Q383" s="2">
        <v>45487</v>
      </c>
      <c r="R383" s="2">
        <v>45489</v>
      </c>
      <c r="S383" t="s">
        <v>74</v>
      </c>
      <c r="T383">
        <f t="shared" si="35"/>
        <v>246.084</v>
      </c>
      <c r="U383">
        <f t="shared" si="36"/>
        <v>10</v>
      </c>
      <c r="V383">
        <f t="shared" si="37"/>
        <v>261.06</v>
      </c>
      <c r="W383">
        <f t="shared" si="38"/>
        <v>26.105999999999995</v>
      </c>
      <c r="X383">
        <f t="shared" si="39"/>
        <v>2</v>
      </c>
      <c r="Y383" cm="1">
        <f t="array" ref="Y383">_xlfn.IFS(H383=0.1,1,H383=0.15,1,H383=0.05,1,H383=0,0)</f>
        <v>1</v>
      </c>
      <c r="Z383">
        <f t="shared" si="40"/>
        <v>3</v>
      </c>
      <c r="AA383">
        <f t="shared" si="41"/>
        <v>2024</v>
      </c>
    </row>
    <row r="384" spans="1:27" x14ac:dyDescent="0.3">
      <c r="A384" s="2">
        <v>45030</v>
      </c>
      <c r="B384" t="s">
        <v>45</v>
      </c>
      <c r="C384" t="s">
        <v>81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68</v>
      </c>
      <c r="J384">
        <v>70.224000000000004</v>
      </c>
      <c r="K384" t="s">
        <v>65</v>
      </c>
      <c r="L384" t="s">
        <v>35</v>
      </c>
      <c r="M384">
        <v>0</v>
      </c>
      <c r="N384" t="s">
        <v>812</v>
      </c>
      <c r="O384" t="s">
        <v>813</v>
      </c>
      <c r="P384">
        <v>34.270000000000003</v>
      </c>
      <c r="Q384" s="2">
        <v>45030</v>
      </c>
      <c r="R384" s="2">
        <v>45035</v>
      </c>
      <c r="S384" t="s">
        <v>50</v>
      </c>
      <c r="T384">
        <f t="shared" si="35"/>
        <v>104.494</v>
      </c>
      <c r="U384">
        <f t="shared" si="36"/>
        <v>5</v>
      </c>
      <c r="V384">
        <f t="shared" si="37"/>
        <v>73.92</v>
      </c>
      <c r="W384">
        <f t="shared" si="38"/>
        <v>3.695999999999998</v>
      </c>
      <c r="X384">
        <f t="shared" si="39"/>
        <v>5</v>
      </c>
      <c r="Y384" cm="1">
        <f t="array" ref="Y384">_xlfn.IFS(H384=0.1,1,H384=0.15,1,H384=0.05,1,H384=0,0)</f>
        <v>1</v>
      </c>
      <c r="Z384">
        <f t="shared" si="40"/>
        <v>11</v>
      </c>
      <c r="AA384">
        <f t="shared" si="41"/>
        <v>2023</v>
      </c>
    </row>
    <row r="385" spans="1:27" x14ac:dyDescent="0.3">
      <c r="A385" s="2">
        <v>45078</v>
      </c>
      <c r="B385" t="s">
        <v>29</v>
      </c>
      <c r="C385" t="s">
        <v>132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814</v>
      </c>
      <c r="O385" t="s">
        <v>815</v>
      </c>
      <c r="P385">
        <v>22.95</v>
      </c>
      <c r="Q385" s="2">
        <v>45078</v>
      </c>
      <c r="R385" s="2">
        <v>45083</v>
      </c>
      <c r="S385" t="s">
        <v>38</v>
      </c>
      <c r="T385">
        <f t="shared" si="35"/>
        <v>525.83400000000006</v>
      </c>
      <c r="U385">
        <f t="shared" si="36"/>
        <v>10</v>
      </c>
      <c r="V385">
        <f t="shared" si="37"/>
        <v>558.76</v>
      </c>
      <c r="W385">
        <f t="shared" si="38"/>
        <v>55.875999999999976</v>
      </c>
      <c r="X385">
        <f t="shared" si="39"/>
        <v>5</v>
      </c>
      <c r="Y385" cm="1">
        <f t="array" ref="Y385">_xlfn.IFS(H385=0.1,1,H385=0.15,1,H385=0.05,1,H385=0,0)</f>
        <v>1</v>
      </c>
      <c r="Z385">
        <f t="shared" si="40"/>
        <v>2</v>
      </c>
      <c r="AA385">
        <f t="shared" si="41"/>
        <v>2023</v>
      </c>
    </row>
    <row r="386" spans="1:27" x14ac:dyDescent="0.3">
      <c r="A386" s="2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816</v>
      </c>
      <c r="O386" t="s">
        <v>817</v>
      </c>
      <c r="P386">
        <v>16.989999999999998</v>
      </c>
      <c r="Q386" s="2">
        <v>45764</v>
      </c>
      <c r="R386" s="2">
        <v>45767</v>
      </c>
      <c r="S386" t="s">
        <v>50</v>
      </c>
      <c r="T386">
        <f t="shared" si="35"/>
        <v>1700.17</v>
      </c>
      <c r="U386">
        <f t="shared" si="36"/>
        <v>10</v>
      </c>
      <c r="V386">
        <f t="shared" si="37"/>
        <v>1870.2</v>
      </c>
      <c r="W386">
        <f t="shared" si="38"/>
        <v>187.01999999999998</v>
      </c>
      <c r="X386">
        <f t="shared" si="39"/>
        <v>3</v>
      </c>
      <c r="Y386" cm="1">
        <f t="array" ref="Y386">_xlfn.IFS(H386=0.1,1,H386=0.15,1,H386=0.05,1,H386=0,0)</f>
        <v>1</v>
      </c>
      <c r="Z386">
        <f t="shared" si="40"/>
        <v>9</v>
      </c>
      <c r="AA386">
        <f t="shared" si="41"/>
        <v>2025</v>
      </c>
    </row>
    <row r="387" spans="1:27" x14ac:dyDescent="0.3">
      <c r="A387" s="2">
        <v>45747</v>
      </c>
      <c r="B387" t="s">
        <v>19</v>
      </c>
      <c r="C387" t="s">
        <v>132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68</v>
      </c>
      <c r="J387">
        <v>7294.2899999999991</v>
      </c>
      <c r="K387" t="s">
        <v>65</v>
      </c>
      <c r="L387" t="s">
        <v>35</v>
      </c>
      <c r="M387">
        <v>0</v>
      </c>
      <c r="N387" t="s">
        <v>818</v>
      </c>
      <c r="O387" t="s">
        <v>819</v>
      </c>
      <c r="P387">
        <v>10.220000000000001</v>
      </c>
      <c r="Q387" s="2">
        <v>45747</v>
      </c>
      <c r="R387" s="2">
        <v>45756</v>
      </c>
      <c r="S387" t="s">
        <v>28</v>
      </c>
      <c r="T387">
        <f t="shared" ref="T387:T450" si="42">SUM(J387:P387)</f>
        <v>7304.5099999999993</v>
      </c>
      <c r="U387">
        <f t="shared" ref="U387:U450" si="43">PRODUCT(100,H387)</f>
        <v>5</v>
      </c>
      <c r="V387">
        <f t="shared" ref="V387:V450" si="44">PRODUCT(D387:E387)</f>
        <v>7678.2</v>
      </c>
      <c r="W387">
        <f t="shared" ref="W387:W450" si="45" xml:space="preserve"> V387-J387</f>
        <v>383.91000000000076</v>
      </c>
      <c r="X387">
        <f t="shared" ref="X387:X450" si="46">R387-Q387</f>
        <v>9</v>
      </c>
      <c r="Y387" cm="1">
        <f t="array" ref="Y387">_xlfn.IFS(H387=0.1,1,H387=0.15,1,H387=0.05,1,H387=0,0)</f>
        <v>1</v>
      </c>
      <c r="Z387">
        <f t="shared" ref="Z387:Z450" si="47">PRODUCT(Y387,D387)</f>
        <v>15</v>
      </c>
      <c r="AA387">
        <f t="shared" ref="AA387:AA450" si="48">YEAR(A387)</f>
        <v>2025</v>
      </c>
    </row>
    <row r="388" spans="1:27" x14ac:dyDescent="0.3">
      <c r="A388" s="2">
        <v>45488</v>
      </c>
      <c r="B388" t="s">
        <v>19</v>
      </c>
      <c r="C388" t="s">
        <v>132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68</v>
      </c>
      <c r="J388">
        <v>3259.7</v>
      </c>
      <c r="K388" t="s">
        <v>65</v>
      </c>
      <c r="L388" t="s">
        <v>25</v>
      </c>
      <c r="M388">
        <v>1</v>
      </c>
      <c r="N388" t="s">
        <v>820</v>
      </c>
      <c r="O388" t="s">
        <v>821</v>
      </c>
      <c r="P388">
        <v>49.95</v>
      </c>
      <c r="Q388" s="2">
        <v>45488</v>
      </c>
      <c r="R388" s="2">
        <v>45495</v>
      </c>
      <c r="S388" t="s">
        <v>28</v>
      </c>
      <c r="T388">
        <f t="shared" si="42"/>
        <v>3310.6499999999996</v>
      </c>
      <c r="U388">
        <f t="shared" si="43"/>
        <v>0</v>
      </c>
      <c r="V388">
        <f t="shared" si="44"/>
        <v>3259.7000000000003</v>
      </c>
      <c r="W388">
        <f t="shared" si="45"/>
        <v>0</v>
      </c>
      <c r="X388">
        <f t="shared" si="46"/>
        <v>7</v>
      </c>
      <c r="Y388" cm="1">
        <f t="array" ref="Y388">_xlfn.IFS(H388=0.1,1,H388=0.15,1,H388=0.05,1,H388=0,0)</f>
        <v>0</v>
      </c>
      <c r="Z388">
        <f t="shared" si="47"/>
        <v>0</v>
      </c>
      <c r="AA388">
        <f t="shared" si="48"/>
        <v>2024</v>
      </c>
    </row>
    <row r="389" spans="1:27" x14ac:dyDescent="0.3">
      <c r="A389" s="2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822</v>
      </c>
      <c r="O389" t="s">
        <v>823</v>
      </c>
      <c r="P389">
        <v>5.86</v>
      </c>
      <c r="Q389" s="2">
        <v>45534</v>
      </c>
      <c r="R389" s="2">
        <v>45536</v>
      </c>
      <c r="S389" t="s">
        <v>38</v>
      </c>
      <c r="T389">
        <f t="shared" si="42"/>
        <v>7985.2999999999993</v>
      </c>
      <c r="U389">
        <f t="shared" si="43"/>
        <v>0</v>
      </c>
      <c r="V389">
        <f t="shared" si="44"/>
        <v>7978.44</v>
      </c>
      <c r="W389">
        <f t="shared" si="45"/>
        <v>0</v>
      </c>
      <c r="X389">
        <f t="shared" si="46"/>
        <v>2</v>
      </c>
      <c r="Y389" cm="1">
        <f t="array" ref="Y389">_xlfn.IFS(H389=0.1,1,H389=0.15,1,H389=0.05,1,H389=0,0)</f>
        <v>0</v>
      </c>
      <c r="Z389">
        <f t="shared" si="47"/>
        <v>0</v>
      </c>
      <c r="AA389">
        <f t="shared" si="48"/>
        <v>2024</v>
      </c>
    </row>
    <row r="390" spans="1:27" x14ac:dyDescent="0.3">
      <c r="A390" s="2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68</v>
      </c>
      <c r="J390">
        <v>2426.9699999999998</v>
      </c>
      <c r="K390" t="s">
        <v>65</v>
      </c>
      <c r="L390" t="s">
        <v>25</v>
      </c>
      <c r="M390">
        <v>0</v>
      </c>
      <c r="N390" t="s">
        <v>824</v>
      </c>
      <c r="O390" t="s">
        <v>825</v>
      </c>
      <c r="P390">
        <v>19.920000000000002</v>
      </c>
      <c r="Q390" s="2">
        <v>45664</v>
      </c>
      <c r="R390" s="2">
        <v>45667</v>
      </c>
      <c r="S390" t="s">
        <v>50</v>
      </c>
      <c r="T390">
        <f t="shared" si="42"/>
        <v>2446.89</v>
      </c>
      <c r="U390">
        <f t="shared" si="43"/>
        <v>0</v>
      </c>
      <c r="V390">
        <f t="shared" si="44"/>
        <v>2426.9699999999998</v>
      </c>
      <c r="W390">
        <f t="shared" si="45"/>
        <v>0</v>
      </c>
      <c r="X390">
        <f t="shared" si="46"/>
        <v>3</v>
      </c>
      <c r="Y390" cm="1">
        <f t="array" ref="Y390">_xlfn.IFS(H390=0.1,1,H390=0.15,1,H390=0.05,1,H390=0,0)</f>
        <v>0</v>
      </c>
      <c r="Z390">
        <f t="shared" si="47"/>
        <v>0</v>
      </c>
      <c r="AA390">
        <f t="shared" si="48"/>
        <v>2025</v>
      </c>
    </row>
    <row r="391" spans="1:27" x14ac:dyDescent="0.3">
      <c r="A391" s="2">
        <v>45693</v>
      </c>
      <c r="B391" t="s">
        <v>29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526.83199999999988</v>
      </c>
      <c r="K391" t="s">
        <v>62</v>
      </c>
      <c r="L391" t="s">
        <v>59</v>
      </c>
      <c r="M391">
        <v>0</v>
      </c>
      <c r="N391" t="s">
        <v>826</v>
      </c>
      <c r="O391" t="s">
        <v>827</v>
      </c>
      <c r="P391">
        <v>49.9</v>
      </c>
      <c r="Q391" s="2">
        <v>45693</v>
      </c>
      <c r="R391" s="2">
        <v>45699</v>
      </c>
      <c r="S391" t="s">
        <v>38</v>
      </c>
      <c r="T391">
        <f t="shared" si="42"/>
        <v>576.73199999999986</v>
      </c>
      <c r="U391">
        <f t="shared" si="43"/>
        <v>5</v>
      </c>
      <c r="V391">
        <f t="shared" si="44"/>
        <v>554.55999999999995</v>
      </c>
      <c r="W391">
        <f t="shared" si="45"/>
        <v>27.728000000000065</v>
      </c>
      <c r="X391">
        <f t="shared" si="46"/>
        <v>6</v>
      </c>
      <c r="Y391" cm="1">
        <f t="array" ref="Y391">_xlfn.IFS(H391=0.1,1,H391=0.15,1,H391=0.05,1,H391=0,0)</f>
        <v>1</v>
      </c>
      <c r="Z391">
        <f t="shared" si="47"/>
        <v>16</v>
      </c>
      <c r="AA391">
        <f t="shared" si="48"/>
        <v>2025</v>
      </c>
    </row>
    <row r="392" spans="1:27" x14ac:dyDescent="0.3">
      <c r="A392" s="2">
        <v>45383</v>
      </c>
      <c r="B392" t="s">
        <v>39</v>
      </c>
      <c r="C392" t="s">
        <v>132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65</v>
      </c>
      <c r="L392" t="s">
        <v>41</v>
      </c>
      <c r="M392">
        <v>0</v>
      </c>
      <c r="N392" t="s">
        <v>828</v>
      </c>
      <c r="O392" t="s">
        <v>829</v>
      </c>
      <c r="P392">
        <v>39.99</v>
      </c>
      <c r="Q392" s="2">
        <v>45383</v>
      </c>
      <c r="R392" s="2">
        <v>45386</v>
      </c>
      <c r="S392" t="s">
        <v>44</v>
      </c>
      <c r="T392">
        <f t="shared" si="42"/>
        <v>2412.1019999999999</v>
      </c>
      <c r="U392">
        <f t="shared" si="43"/>
        <v>15</v>
      </c>
      <c r="V392">
        <f t="shared" si="44"/>
        <v>2790.72</v>
      </c>
      <c r="W392">
        <f t="shared" si="45"/>
        <v>418.60799999999972</v>
      </c>
      <c r="X392">
        <f t="shared" si="46"/>
        <v>3</v>
      </c>
      <c r="Y392" cm="1">
        <f t="array" ref="Y392">_xlfn.IFS(H392=0.1,1,H392=0.15,1,H392=0.05,1,H392=0,0)</f>
        <v>1</v>
      </c>
      <c r="Z392">
        <f t="shared" si="47"/>
        <v>18</v>
      </c>
      <c r="AA392">
        <f t="shared" si="48"/>
        <v>2024</v>
      </c>
    </row>
    <row r="393" spans="1:27" x14ac:dyDescent="0.3">
      <c r="A393" s="2">
        <v>45717</v>
      </c>
      <c r="B393" t="s">
        <v>71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830</v>
      </c>
      <c r="O393" t="s">
        <v>831</v>
      </c>
      <c r="P393">
        <v>17.68</v>
      </c>
      <c r="Q393" s="2">
        <v>45717</v>
      </c>
      <c r="R393" s="2">
        <v>45725</v>
      </c>
      <c r="S393" t="s">
        <v>74</v>
      </c>
      <c r="T393">
        <f t="shared" si="42"/>
        <v>282.16000000000003</v>
      </c>
      <c r="U393">
        <f t="shared" si="43"/>
        <v>5</v>
      </c>
      <c r="V393">
        <f t="shared" si="44"/>
        <v>278.39999999999998</v>
      </c>
      <c r="W393">
        <f t="shared" si="45"/>
        <v>13.919999999999959</v>
      </c>
      <c r="X393">
        <f t="shared" si="46"/>
        <v>8</v>
      </c>
      <c r="Y393" cm="1">
        <f t="array" ref="Y393">_xlfn.IFS(H393=0.1,1,H393=0.15,1,H393=0.05,1,H393=0,0)</f>
        <v>1</v>
      </c>
      <c r="Z393">
        <f t="shared" si="47"/>
        <v>4</v>
      </c>
      <c r="AA393">
        <f t="shared" si="48"/>
        <v>2025</v>
      </c>
    </row>
    <row r="394" spans="1:27" x14ac:dyDescent="0.3">
      <c r="A394" s="2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65</v>
      </c>
      <c r="L394" t="s">
        <v>25</v>
      </c>
      <c r="M394">
        <v>1</v>
      </c>
      <c r="N394" t="s">
        <v>832</v>
      </c>
      <c r="O394" t="s">
        <v>833</v>
      </c>
      <c r="P394">
        <v>47.78</v>
      </c>
      <c r="Q394" s="2">
        <v>45110</v>
      </c>
      <c r="R394" s="2">
        <v>45113</v>
      </c>
      <c r="S394" t="s">
        <v>50</v>
      </c>
      <c r="T394">
        <f t="shared" si="42"/>
        <v>657.52449999999999</v>
      </c>
      <c r="U394">
        <f t="shared" si="43"/>
        <v>15</v>
      </c>
      <c r="V394">
        <f t="shared" si="44"/>
        <v>716.17000000000007</v>
      </c>
      <c r="W394">
        <f t="shared" si="45"/>
        <v>107.42550000000006</v>
      </c>
      <c r="X394">
        <f t="shared" si="46"/>
        <v>3</v>
      </c>
      <c r="Y394" cm="1">
        <f t="array" ref="Y394">_xlfn.IFS(H394=0.1,1,H394=0.15,1,H394=0.05,1,H394=0,0)</f>
        <v>1</v>
      </c>
      <c r="Z394">
        <f t="shared" si="47"/>
        <v>13</v>
      </c>
      <c r="AA394">
        <f t="shared" si="48"/>
        <v>2023</v>
      </c>
    </row>
    <row r="395" spans="1:27" x14ac:dyDescent="0.3">
      <c r="A395" s="2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68</v>
      </c>
      <c r="J395">
        <v>2277.5155</v>
      </c>
      <c r="K395" t="s">
        <v>34</v>
      </c>
      <c r="L395" t="s">
        <v>35</v>
      </c>
      <c r="M395">
        <v>1</v>
      </c>
      <c r="N395" t="s">
        <v>834</v>
      </c>
      <c r="O395" t="s">
        <v>835</v>
      </c>
      <c r="P395">
        <v>22.59</v>
      </c>
      <c r="Q395" s="2">
        <v>45041</v>
      </c>
      <c r="R395" s="2">
        <v>45047</v>
      </c>
      <c r="S395" t="s">
        <v>50</v>
      </c>
      <c r="T395">
        <f t="shared" si="42"/>
        <v>2301.1055000000001</v>
      </c>
      <c r="U395">
        <f t="shared" si="43"/>
        <v>15</v>
      </c>
      <c r="V395">
        <f t="shared" si="44"/>
        <v>2679.4300000000003</v>
      </c>
      <c r="W395">
        <f t="shared" si="45"/>
        <v>401.91450000000032</v>
      </c>
      <c r="X395">
        <f t="shared" si="46"/>
        <v>6</v>
      </c>
      <c r="Y395" cm="1">
        <f t="array" ref="Y395">_xlfn.IFS(H395=0.1,1,H395=0.15,1,H395=0.05,1,H395=0,0)</f>
        <v>1</v>
      </c>
      <c r="Z395">
        <f t="shared" si="47"/>
        <v>13</v>
      </c>
      <c r="AA395">
        <f t="shared" si="48"/>
        <v>2023</v>
      </c>
    </row>
    <row r="396" spans="1:27" x14ac:dyDescent="0.3">
      <c r="A396" s="2">
        <v>45756</v>
      </c>
      <c r="B396" t="s">
        <v>71</v>
      </c>
      <c r="C396" t="s">
        <v>81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</v>
      </c>
      <c r="K396" t="s">
        <v>62</v>
      </c>
      <c r="L396" t="s">
        <v>35</v>
      </c>
      <c r="M396">
        <v>0</v>
      </c>
      <c r="N396" t="s">
        <v>836</v>
      </c>
      <c r="O396" t="s">
        <v>837</v>
      </c>
      <c r="P396">
        <v>29.24</v>
      </c>
      <c r="Q396" s="2">
        <v>45756</v>
      </c>
      <c r="R396" s="2">
        <v>45766</v>
      </c>
      <c r="S396" t="s">
        <v>74</v>
      </c>
      <c r="T396">
        <f t="shared" si="42"/>
        <v>6471.4939999999988</v>
      </c>
      <c r="U396">
        <f t="shared" si="43"/>
        <v>5</v>
      </c>
      <c r="V396">
        <f t="shared" si="44"/>
        <v>6781.32</v>
      </c>
      <c r="W396">
        <f t="shared" si="45"/>
        <v>339.06600000000071</v>
      </c>
      <c r="X396">
        <f t="shared" si="46"/>
        <v>10</v>
      </c>
      <c r="Y396" cm="1">
        <f t="array" ref="Y396">_xlfn.IFS(H396=0.1,1,H396=0.15,1,H396=0.05,1,H396=0,0)</f>
        <v>1</v>
      </c>
      <c r="Z396">
        <f t="shared" si="47"/>
        <v>14</v>
      </c>
      <c r="AA396">
        <f t="shared" si="48"/>
        <v>2025</v>
      </c>
    </row>
    <row r="397" spans="1:27" x14ac:dyDescent="0.3">
      <c r="A397" s="2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838</v>
      </c>
      <c r="O397" t="s">
        <v>839</v>
      </c>
      <c r="P397">
        <v>23.09</v>
      </c>
      <c r="Q397" s="2">
        <v>45235</v>
      </c>
      <c r="R397" s="2">
        <v>45242</v>
      </c>
      <c r="S397" t="s">
        <v>44</v>
      </c>
      <c r="T397">
        <f t="shared" si="42"/>
        <v>2720.51</v>
      </c>
      <c r="U397">
        <f t="shared" si="43"/>
        <v>0</v>
      </c>
      <c r="V397">
        <f t="shared" si="44"/>
        <v>2697.42</v>
      </c>
      <c r="W397">
        <f t="shared" si="45"/>
        <v>0</v>
      </c>
      <c r="X397">
        <f t="shared" si="46"/>
        <v>7</v>
      </c>
      <c r="Y397" cm="1">
        <f t="array" ref="Y397">_xlfn.IFS(H397=0.1,1,H397=0.15,1,H397=0.05,1,H397=0,0)</f>
        <v>0</v>
      </c>
      <c r="Z397">
        <f t="shared" si="47"/>
        <v>0</v>
      </c>
      <c r="AA397">
        <f t="shared" si="48"/>
        <v>2023</v>
      </c>
    </row>
    <row r="398" spans="1:27" x14ac:dyDescent="0.3">
      <c r="A398" s="2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65</v>
      </c>
      <c r="L398" t="s">
        <v>59</v>
      </c>
      <c r="M398">
        <v>1</v>
      </c>
      <c r="N398" t="s">
        <v>840</v>
      </c>
      <c r="O398" t="s">
        <v>841</v>
      </c>
      <c r="P398">
        <v>11.9</v>
      </c>
      <c r="Q398" s="2">
        <v>44939</v>
      </c>
      <c r="R398" s="2">
        <v>44945</v>
      </c>
      <c r="S398" t="s">
        <v>28</v>
      </c>
      <c r="T398">
        <f t="shared" si="42"/>
        <v>2019.99</v>
      </c>
      <c r="U398">
        <f t="shared" si="43"/>
        <v>0</v>
      </c>
      <c r="V398">
        <f t="shared" si="44"/>
        <v>2007.09</v>
      </c>
      <c r="W398">
        <f t="shared" si="45"/>
        <v>0</v>
      </c>
      <c r="X398">
        <f t="shared" si="46"/>
        <v>6</v>
      </c>
      <c r="Y398" cm="1">
        <f t="array" ref="Y398">_xlfn.IFS(H398=0.1,1,H398=0.15,1,H398=0.05,1,H398=0,0)</f>
        <v>0</v>
      </c>
      <c r="Z398">
        <f t="shared" si="47"/>
        <v>0</v>
      </c>
      <c r="AA398">
        <f t="shared" si="48"/>
        <v>2023</v>
      </c>
    </row>
    <row r="399" spans="1:27" x14ac:dyDescent="0.3">
      <c r="A399" s="2">
        <v>45694</v>
      </c>
      <c r="B399" t="s">
        <v>71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L399" t="s">
        <v>59</v>
      </c>
      <c r="M399">
        <v>0</v>
      </c>
      <c r="N399" t="s">
        <v>842</v>
      </c>
      <c r="O399" t="s">
        <v>843</v>
      </c>
      <c r="P399">
        <v>27.51</v>
      </c>
      <c r="Q399" s="2">
        <v>45694</v>
      </c>
      <c r="R399" s="2">
        <v>45698</v>
      </c>
      <c r="S399" t="s">
        <v>74</v>
      </c>
      <c r="T399">
        <f t="shared" si="42"/>
        <v>3501.239</v>
      </c>
      <c r="U399">
        <f t="shared" si="43"/>
        <v>15</v>
      </c>
      <c r="V399">
        <f t="shared" si="44"/>
        <v>4086.7400000000002</v>
      </c>
      <c r="W399">
        <f t="shared" si="45"/>
        <v>613.01100000000042</v>
      </c>
      <c r="X399">
        <f t="shared" si="46"/>
        <v>4</v>
      </c>
      <c r="Y399" cm="1">
        <f t="array" ref="Y399">_xlfn.IFS(H399=0.1,1,H399=0.15,1,H399=0.05,1,H399=0,0)</f>
        <v>1</v>
      </c>
      <c r="Z399">
        <f t="shared" si="47"/>
        <v>14</v>
      </c>
      <c r="AA399">
        <f t="shared" si="48"/>
        <v>2025</v>
      </c>
    </row>
    <row r="400" spans="1:27" x14ac:dyDescent="0.3">
      <c r="A400" s="2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844</v>
      </c>
      <c r="O400" t="s">
        <v>845</v>
      </c>
      <c r="P400">
        <v>16.739999999999998</v>
      </c>
      <c r="Q400" s="2">
        <v>45066</v>
      </c>
      <c r="R400" s="2">
        <v>45071</v>
      </c>
      <c r="S400" t="s">
        <v>38</v>
      </c>
      <c r="T400">
        <f t="shared" si="42"/>
        <v>1197.92</v>
      </c>
      <c r="U400">
        <f t="shared" si="43"/>
        <v>0</v>
      </c>
      <c r="V400">
        <f t="shared" si="44"/>
        <v>1181.18</v>
      </c>
      <c r="W400">
        <f t="shared" si="45"/>
        <v>0</v>
      </c>
      <c r="X400">
        <f t="shared" si="46"/>
        <v>5</v>
      </c>
      <c r="Y400" cm="1">
        <f t="array" ref="Y400">_xlfn.IFS(H400=0.1,1,H400=0.15,1,H400=0.05,1,H400=0,0)</f>
        <v>0</v>
      </c>
      <c r="Z400">
        <f t="shared" si="47"/>
        <v>0</v>
      </c>
      <c r="AA400">
        <f t="shared" si="48"/>
        <v>2023</v>
      </c>
    </row>
    <row r="401" spans="1:27" x14ac:dyDescent="0.3">
      <c r="A401" s="2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846</v>
      </c>
      <c r="O401" t="s">
        <v>847</v>
      </c>
      <c r="P401">
        <v>21.02</v>
      </c>
      <c r="Q401" s="2">
        <v>45826</v>
      </c>
      <c r="R401" s="2">
        <v>45832</v>
      </c>
      <c r="S401" t="s">
        <v>28</v>
      </c>
      <c r="T401">
        <f t="shared" si="42"/>
        <v>457.21999999999997</v>
      </c>
      <c r="U401">
        <f t="shared" si="43"/>
        <v>0</v>
      </c>
      <c r="V401">
        <f t="shared" si="44"/>
        <v>436.2</v>
      </c>
      <c r="W401">
        <f t="shared" si="45"/>
        <v>0</v>
      </c>
      <c r="X401">
        <f t="shared" si="46"/>
        <v>6</v>
      </c>
      <c r="Y401" cm="1">
        <f t="array" ref="Y401">_xlfn.IFS(H401=0.1,1,H401=0.15,1,H401=0.05,1,H401=0,0)</f>
        <v>0</v>
      </c>
      <c r="Z401">
        <f t="shared" si="47"/>
        <v>0</v>
      </c>
      <c r="AA401">
        <f t="shared" si="48"/>
        <v>2025</v>
      </c>
    </row>
    <row r="402" spans="1:27" x14ac:dyDescent="0.3">
      <c r="A402" s="2">
        <v>44980</v>
      </c>
      <c r="B402" t="s">
        <v>71</v>
      </c>
      <c r="C402" t="s">
        <v>81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68</v>
      </c>
      <c r="J402">
        <v>2947.2</v>
      </c>
      <c r="K402" t="s">
        <v>65</v>
      </c>
      <c r="L402" t="s">
        <v>25</v>
      </c>
      <c r="M402">
        <v>1</v>
      </c>
      <c r="N402" t="s">
        <v>848</v>
      </c>
      <c r="O402" t="s">
        <v>849</v>
      </c>
      <c r="P402">
        <v>43.92</v>
      </c>
      <c r="Q402" s="2">
        <v>44980</v>
      </c>
      <c r="R402" s="2">
        <v>44984</v>
      </c>
      <c r="S402" t="s">
        <v>74</v>
      </c>
      <c r="T402">
        <f t="shared" si="42"/>
        <v>2992.12</v>
      </c>
      <c r="U402">
        <f t="shared" si="43"/>
        <v>0</v>
      </c>
      <c r="V402">
        <f t="shared" si="44"/>
        <v>2947.2</v>
      </c>
      <c r="W402">
        <f t="shared" si="45"/>
        <v>0</v>
      </c>
      <c r="X402">
        <f t="shared" si="46"/>
        <v>4</v>
      </c>
      <c r="Y402" cm="1">
        <f t="array" ref="Y402">_xlfn.IFS(H402=0.1,1,H402=0.15,1,H402=0.05,1,H402=0,0)</f>
        <v>0</v>
      </c>
      <c r="Z402">
        <f t="shared" si="47"/>
        <v>0</v>
      </c>
      <c r="AA402">
        <f t="shared" si="48"/>
        <v>2023</v>
      </c>
    </row>
    <row r="403" spans="1:27" x14ac:dyDescent="0.3">
      <c r="A403" s="2">
        <v>45605</v>
      </c>
      <c r="B403" t="s">
        <v>19</v>
      </c>
      <c r="C403" t="s">
        <v>132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68</v>
      </c>
      <c r="J403">
        <v>5700.45</v>
      </c>
      <c r="K403" t="s">
        <v>24</v>
      </c>
      <c r="L403" t="s">
        <v>59</v>
      </c>
      <c r="M403">
        <v>0</v>
      </c>
      <c r="N403" t="s">
        <v>850</v>
      </c>
      <c r="O403" t="s">
        <v>851</v>
      </c>
      <c r="P403">
        <v>25.72</v>
      </c>
      <c r="Q403" s="2">
        <v>45605</v>
      </c>
      <c r="R403" s="2">
        <v>45608</v>
      </c>
      <c r="S403" t="s">
        <v>28</v>
      </c>
      <c r="T403">
        <f t="shared" si="42"/>
        <v>5726.17</v>
      </c>
      <c r="U403">
        <f t="shared" si="43"/>
        <v>0</v>
      </c>
      <c r="V403">
        <f t="shared" si="44"/>
        <v>5700.45</v>
      </c>
      <c r="W403">
        <f t="shared" si="45"/>
        <v>0</v>
      </c>
      <c r="X403">
        <f t="shared" si="46"/>
        <v>3</v>
      </c>
      <c r="Y403" cm="1">
        <f t="array" ref="Y403">_xlfn.IFS(H403=0.1,1,H403=0.15,1,H403=0.05,1,H403=0,0)</f>
        <v>0</v>
      </c>
      <c r="Z403">
        <f t="shared" si="47"/>
        <v>0</v>
      </c>
      <c r="AA403">
        <f t="shared" si="48"/>
        <v>2024</v>
      </c>
    </row>
    <row r="404" spans="1:27" x14ac:dyDescent="0.3">
      <c r="A404" s="2">
        <v>45498</v>
      </c>
      <c r="B404" t="s">
        <v>29</v>
      </c>
      <c r="C404" t="s">
        <v>81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852</v>
      </c>
      <c r="O404" t="s">
        <v>853</v>
      </c>
      <c r="P404">
        <v>43.42</v>
      </c>
      <c r="Q404" s="2">
        <v>45498</v>
      </c>
      <c r="R404" s="2">
        <v>45504</v>
      </c>
      <c r="S404" t="s">
        <v>38</v>
      </c>
      <c r="T404">
        <f t="shared" si="42"/>
        <v>1233.5230000000001</v>
      </c>
      <c r="U404">
        <f t="shared" si="43"/>
        <v>5</v>
      </c>
      <c r="V404">
        <f t="shared" si="44"/>
        <v>1252.74</v>
      </c>
      <c r="W404">
        <f t="shared" si="45"/>
        <v>62.636999999999944</v>
      </c>
      <c r="X404">
        <f t="shared" si="46"/>
        <v>6</v>
      </c>
      <c r="Y404" cm="1">
        <f t="array" ref="Y404">_xlfn.IFS(H404=0.1,1,H404=0.15,1,H404=0.05,1,H404=0,0)</f>
        <v>1</v>
      </c>
      <c r="Z404">
        <f t="shared" si="47"/>
        <v>3</v>
      </c>
      <c r="AA404">
        <f t="shared" si="48"/>
        <v>2024</v>
      </c>
    </row>
    <row r="405" spans="1:27" x14ac:dyDescent="0.3">
      <c r="A405" s="2">
        <v>45157</v>
      </c>
      <c r="B405" t="s">
        <v>71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62</v>
      </c>
      <c r="L405" t="s">
        <v>41</v>
      </c>
      <c r="M405">
        <v>0</v>
      </c>
      <c r="N405" t="s">
        <v>854</v>
      </c>
      <c r="O405" t="s">
        <v>855</v>
      </c>
      <c r="P405">
        <v>44.88</v>
      </c>
      <c r="Q405" s="2">
        <v>45157</v>
      </c>
      <c r="R405" s="2">
        <v>45161</v>
      </c>
      <c r="S405" t="s">
        <v>74</v>
      </c>
      <c r="T405">
        <f t="shared" si="42"/>
        <v>5555.0474999999997</v>
      </c>
      <c r="U405">
        <f t="shared" si="43"/>
        <v>15</v>
      </c>
      <c r="V405">
        <f t="shared" si="44"/>
        <v>6482.55</v>
      </c>
      <c r="W405">
        <f t="shared" si="45"/>
        <v>972.38250000000062</v>
      </c>
      <c r="X405">
        <f t="shared" si="46"/>
        <v>4</v>
      </c>
      <c r="Y405" cm="1">
        <f t="array" ref="Y405">_xlfn.IFS(H405=0.1,1,H405=0.15,1,H405=0.05,1,H405=0,0)</f>
        <v>1</v>
      </c>
      <c r="Z405">
        <f t="shared" si="47"/>
        <v>15</v>
      </c>
      <c r="AA405">
        <f t="shared" si="48"/>
        <v>2023</v>
      </c>
    </row>
    <row r="406" spans="1:27" x14ac:dyDescent="0.3">
      <c r="A406" s="2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68</v>
      </c>
      <c r="J406">
        <v>6221.7090000000007</v>
      </c>
      <c r="K406" t="s">
        <v>24</v>
      </c>
      <c r="L406" t="s">
        <v>35</v>
      </c>
      <c r="M406">
        <v>0</v>
      </c>
      <c r="N406" t="s">
        <v>856</v>
      </c>
      <c r="O406" t="s">
        <v>857</v>
      </c>
      <c r="P406">
        <v>37.909999999999997</v>
      </c>
      <c r="Q406" s="2">
        <v>45243</v>
      </c>
      <c r="R406" s="2">
        <v>45245</v>
      </c>
      <c r="S406" t="s">
        <v>38</v>
      </c>
      <c r="T406">
        <f t="shared" si="42"/>
        <v>6259.6190000000006</v>
      </c>
      <c r="U406">
        <f t="shared" si="43"/>
        <v>10</v>
      </c>
      <c r="V406">
        <f t="shared" si="44"/>
        <v>6913.01</v>
      </c>
      <c r="W406">
        <f t="shared" si="45"/>
        <v>691.30099999999948</v>
      </c>
      <c r="X406">
        <f t="shared" si="46"/>
        <v>2</v>
      </c>
      <c r="Y406" cm="1">
        <f t="array" ref="Y406">_xlfn.IFS(H406=0.1,1,H406=0.15,1,H406=0.05,1,H406=0,0)</f>
        <v>1</v>
      </c>
      <c r="Z406">
        <f t="shared" si="47"/>
        <v>13</v>
      </c>
      <c r="AA406">
        <f t="shared" si="48"/>
        <v>2023</v>
      </c>
    </row>
    <row r="407" spans="1:27" x14ac:dyDescent="0.3">
      <c r="A407" s="2">
        <v>45545</v>
      </c>
      <c r="B407" t="s">
        <v>71</v>
      </c>
      <c r="C407" t="s">
        <v>81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858</v>
      </c>
      <c r="O407" t="s">
        <v>859</v>
      </c>
      <c r="P407">
        <v>37.119999999999997</v>
      </c>
      <c r="Q407" s="2">
        <v>45545</v>
      </c>
      <c r="R407" s="2">
        <v>45553</v>
      </c>
      <c r="S407" t="s">
        <v>74</v>
      </c>
      <c r="T407">
        <f t="shared" si="42"/>
        <v>5508.0464999999995</v>
      </c>
      <c r="U407">
        <f t="shared" si="43"/>
        <v>5</v>
      </c>
      <c r="V407">
        <f t="shared" si="44"/>
        <v>5758.87</v>
      </c>
      <c r="W407">
        <f t="shared" si="45"/>
        <v>287.94350000000031</v>
      </c>
      <c r="X407">
        <f t="shared" si="46"/>
        <v>8</v>
      </c>
      <c r="Y407" cm="1">
        <f t="array" ref="Y407">_xlfn.IFS(H407=0.1,1,H407=0.15,1,H407=0.05,1,H407=0,0)</f>
        <v>1</v>
      </c>
      <c r="Z407">
        <f t="shared" si="47"/>
        <v>13</v>
      </c>
      <c r="AA407">
        <f t="shared" si="48"/>
        <v>2024</v>
      </c>
    </row>
    <row r="408" spans="1:27" x14ac:dyDescent="0.3">
      <c r="A408" s="2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L408" t="s">
        <v>59</v>
      </c>
      <c r="M408">
        <v>0</v>
      </c>
      <c r="N408" t="s">
        <v>860</v>
      </c>
      <c r="O408" t="s">
        <v>861</v>
      </c>
      <c r="P408">
        <v>28.41</v>
      </c>
      <c r="Q408" s="2">
        <v>45534</v>
      </c>
      <c r="R408" s="2">
        <v>45537</v>
      </c>
      <c r="S408" t="s">
        <v>50</v>
      </c>
      <c r="T408">
        <f t="shared" si="42"/>
        <v>7405.91</v>
      </c>
      <c r="U408">
        <f t="shared" si="43"/>
        <v>0</v>
      </c>
      <c r="V408">
        <f t="shared" si="44"/>
        <v>7377.5</v>
      </c>
      <c r="W408">
        <f t="shared" si="45"/>
        <v>0</v>
      </c>
      <c r="X408">
        <f t="shared" si="46"/>
        <v>3</v>
      </c>
      <c r="Y408" cm="1">
        <f t="array" ref="Y408">_xlfn.IFS(H408=0.1,1,H408=0.15,1,H408=0.05,1,H408=0,0)</f>
        <v>0</v>
      </c>
      <c r="Z408">
        <f t="shared" si="47"/>
        <v>0</v>
      </c>
      <c r="AA408">
        <f t="shared" si="48"/>
        <v>2024</v>
      </c>
    </row>
    <row r="409" spans="1:27" x14ac:dyDescent="0.3">
      <c r="A409" s="2">
        <v>45606</v>
      </c>
      <c r="B409" t="s">
        <v>19</v>
      </c>
      <c r="C409" t="s">
        <v>81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7042.7999999999993</v>
      </c>
      <c r="K409" t="s">
        <v>58</v>
      </c>
      <c r="L409" t="s">
        <v>25</v>
      </c>
      <c r="M409">
        <v>0</v>
      </c>
      <c r="N409" t="s">
        <v>862</v>
      </c>
      <c r="O409" t="s">
        <v>863</v>
      </c>
      <c r="P409">
        <v>35.6</v>
      </c>
      <c r="Q409" s="2">
        <v>45606</v>
      </c>
      <c r="R409" s="2">
        <v>45613</v>
      </c>
      <c r="S409" t="s">
        <v>28</v>
      </c>
      <c r="T409">
        <f t="shared" si="42"/>
        <v>7078.4</v>
      </c>
      <c r="U409">
        <f t="shared" si="43"/>
        <v>0</v>
      </c>
      <c r="V409">
        <f t="shared" si="44"/>
        <v>7042.7999999999993</v>
      </c>
      <c r="W409">
        <f t="shared" si="45"/>
        <v>0</v>
      </c>
      <c r="X409">
        <f t="shared" si="46"/>
        <v>7</v>
      </c>
      <c r="Y409" cm="1">
        <f t="array" ref="Y409">_xlfn.IFS(H409=0.1,1,H409=0.15,1,H409=0.05,1,H409=0,0)</f>
        <v>0</v>
      </c>
      <c r="Z409">
        <f t="shared" si="47"/>
        <v>0</v>
      </c>
      <c r="AA409">
        <f t="shared" si="48"/>
        <v>2024</v>
      </c>
    </row>
    <row r="410" spans="1:27" x14ac:dyDescent="0.3">
      <c r="A410" s="2">
        <v>45029</v>
      </c>
      <c r="B410" t="s">
        <v>19</v>
      </c>
      <c r="C410" t="s">
        <v>132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864</v>
      </c>
      <c r="O410" t="s">
        <v>865</v>
      </c>
      <c r="P410">
        <v>39.380000000000003</v>
      </c>
      <c r="Q410" s="2">
        <v>45029</v>
      </c>
      <c r="R410" s="2">
        <v>45035</v>
      </c>
      <c r="S410" t="s">
        <v>28</v>
      </c>
      <c r="T410">
        <f t="shared" si="42"/>
        <v>376.05649999999997</v>
      </c>
      <c r="U410">
        <f t="shared" si="43"/>
        <v>15</v>
      </c>
      <c r="V410">
        <f t="shared" si="44"/>
        <v>396.09</v>
      </c>
      <c r="W410">
        <f t="shared" si="45"/>
        <v>59.413499999999999</v>
      </c>
      <c r="X410">
        <f t="shared" si="46"/>
        <v>6</v>
      </c>
      <c r="Y410" cm="1">
        <f t="array" ref="Y410">_xlfn.IFS(H410=0.1,1,H410=0.15,1,H410=0.05,1,H410=0,0)</f>
        <v>1</v>
      </c>
      <c r="Z410">
        <f t="shared" si="47"/>
        <v>1</v>
      </c>
      <c r="AA410">
        <f t="shared" si="48"/>
        <v>2023</v>
      </c>
    </row>
    <row r="411" spans="1:27" x14ac:dyDescent="0.3">
      <c r="A411" s="2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65</v>
      </c>
      <c r="L411" t="s">
        <v>35</v>
      </c>
      <c r="M411">
        <v>0</v>
      </c>
      <c r="N411" t="s">
        <v>866</v>
      </c>
      <c r="O411" t="s">
        <v>867</v>
      </c>
      <c r="P411">
        <v>37.090000000000003</v>
      </c>
      <c r="Q411" s="2">
        <v>45250</v>
      </c>
      <c r="R411" s="2">
        <v>45257</v>
      </c>
      <c r="S411" t="s">
        <v>28</v>
      </c>
      <c r="T411">
        <f t="shared" si="42"/>
        <v>2268.4120000000003</v>
      </c>
      <c r="U411">
        <f t="shared" si="43"/>
        <v>5</v>
      </c>
      <c r="V411">
        <f t="shared" si="44"/>
        <v>2348.7599999999998</v>
      </c>
      <c r="W411">
        <f t="shared" si="45"/>
        <v>117.43799999999965</v>
      </c>
      <c r="X411">
        <f t="shared" si="46"/>
        <v>7</v>
      </c>
      <c r="Y411" cm="1">
        <f t="array" ref="Y411">_xlfn.IFS(H411=0.1,1,H411=0.15,1,H411=0.05,1,H411=0,0)</f>
        <v>1</v>
      </c>
      <c r="Z411">
        <f t="shared" si="47"/>
        <v>12</v>
      </c>
      <c r="AA411">
        <f t="shared" si="48"/>
        <v>2023</v>
      </c>
    </row>
    <row r="412" spans="1:27" x14ac:dyDescent="0.3">
      <c r="A412" s="2">
        <v>45761</v>
      </c>
      <c r="B412" t="s">
        <v>39</v>
      </c>
      <c r="C412" t="s">
        <v>132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65</v>
      </c>
      <c r="L412" t="s">
        <v>25</v>
      </c>
      <c r="M412">
        <v>0</v>
      </c>
      <c r="N412" t="s">
        <v>868</v>
      </c>
      <c r="O412" t="s">
        <v>467</v>
      </c>
      <c r="P412">
        <v>29.31</v>
      </c>
      <c r="Q412" s="2">
        <v>45761</v>
      </c>
      <c r="R412" s="2">
        <v>45766</v>
      </c>
      <c r="S412" t="s">
        <v>44</v>
      </c>
      <c r="T412">
        <f t="shared" si="42"/>
        <v>1781.33</v>
      </c>
      <c r="U412">
        <f t="shared" si="43"/>
        <v>15</v>
      </c>
      <c r="V412">
        <f t="shared" si="44"/>
        <v>2061.1999999999998</v>
      </c>
      <c r="W412">
        <f t="shared" si="45"/>
        <v>309.17999999999984</v>
      </c>
      <c r="X412">
        <f t="shared" si="46"/>
        <v>5</v>
      </c>
      <c r="Y412" cm="1">
        <f t="array" ref="Y412">_xlfn.IFS(H412=0.1,1,H412=0.15,1,H412=0.05,1,H412=0,0)</f>
        <v>1</v>
      </c>
      <c r="Z412">
        <f t="shared" si="47"/>
        <v>5</v>
      </c>
      <c r="AA412">
        <f t="shared" si="48"/>
        <v>2025</v>
      </c>
    </row>
    <row r="413" spans="1:27" x14ac:dyDescent="0.3">
      <c r="A413" s="2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5221.9749999999995</v>
      </c>
      <c r="K413" t="s">
        <v>65</v>
      </c>
      <c r="L413" t="s">
        <v>41</v>
      </c>
      <c r="M413">
        <v>0</v>
      </c>
      <c r="N413" t="s">
        <v>869</v>
      </c>
      <c r="O413" t="s">
        <v>354</v>
      </c>
      <c r="P413">
        <v>48.15</v>
      </c>
      <c r="Q413" s="2">
        <v>44989</v>
      </c>
      <c r="R413" s="2">
        <v>44994</v>
      </c>
      <c r="S413" t="s">
        <v>50</v>
      </c>
      <c r="T413">
        <f t="shared" si="42"/>
        <v>5270.1249999999991</v>
      </c>
      <c r="U413">
        <f t="shared" si="43"/>
        <v>15</v>
      </c>
      <c r="V413">
        <f t="shared" si="44"/>
        <v>6143.5</v>
      </c>
      <c r="W413">
        <f t="shared" si="45"/>
        <v>921.52500000000055</v>
      </c>
      <c r="X413">
        <f t="shared" si="46"/>
        <v>5</v>
      </c>
      <c r="Y413" cm="1">
        <f t="array" ref="Y413">_xlfn.IFS(H413=0.1,1,H413=0.15,1,H413=0.05,1,H413=0,0)</f>
        <v>1</v>
      </c>
      <c r="Z413">
        <f t="shared" si="47"/>
        <v>11</v>
      </c>
      <c r="AA413">
        <f t="shared" si="48"/>
        <v>2023</v>
      </c>
    </row>
    <row r="414" spans="1:27" x14ac:dyDescent="0.3">
      <c r="A414" s="2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65</v>
      </c>
      <c r="L414" t="s">
        <v>25</v>
      </c>
      <c r="M414">
        <v>0</v>
      </c>
      <c r="N414" t="s">
        <v>870</v>
      </c>
      <c r="O414" t="s">
        <v>871</v>
      </c>
      <c r="P414">
        <v>40.86</v>
      </c>
      <c r="Q414" s="2">
        <v>45612</v>
      </c>
      <c r="R414" s="2">
        <v>45615</v>
      </c>
      <c r="S414" t="s">
        <v>44</v>
      </c>
      <c r="T414">
        <f t="shared" si="42"/>
        <v>637.01599999999996</v>
      </c>
      <c r="U414">
        <f t="shared" si="43"/>
        <v>15</v>
      </c>
      <c r="V414">
        <f t="shared" si="44"/>
        <v>701.36</v>
      </c>
      <c r="W414">
        <f t="shared" si="45"/>
        <v>105.20400000000006</v>
      </c>
      <c r="X414">
        <f t="shared" si="46"/>
        <v>3</v>
      </c>
      <c r="Y414" cm="1">
        <f t="array" ref="Y414">_xlfn.IFS(H414=0.1,1,H414=0.15,1,H414=0.05,1,H414=0,0)</f>
        <v>1</v>
      </c>
      <c r="Z414">
        <f t="shared" si="47"/>
        <v>4</v>
      </c>
      <c r="AA414">
        <f t="shared" si="48"/>
        <v>2024</v>
      </c>
    </row>
    <row r="415" spans="1:27" x14ac:dyDescent="0.3">
      <c r="A415" s="2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62</v>
      </c>
      <c r="L415" t="s">
        <v>41</v>
      </c>
      <c r="M415">
        <v>1</v>
      </c>
      <c r="N415" t="s">
        <v>872</v>
      </c>
      <c r="O415" t="s">
        <v>873</v>
      </c>
      <c r="P415">
        <v>46.46</v>
      </c>
      <c r="Q415" s="2">
        <v>45437</v>
      </c>
      <c r="R415" s="2">
        <v>45445</v>
      </c>
      <c r="S415" t="s">
        <v>38</v>
      </c>
      <c r="T415">
        <f t="shared" si="42"/>
        <v>9143.33</v>
      </c>
      <c r="U415">
        <f t="shared" si="43"/>
        <v>0</v>
      </c>
      <c r="V415">
        <f t="shared" si="44"/>
        <v>9095.8700000000008</v>
      </c>
      <c r="W415">
        <f t="shared" si="45"/>
        <v>0</v>
      </c>
      <c r="X415">
        <f t="shared" si="46"/>
        <v>8</v>
      </c>
      <c r="Y415" cm="1">
        <f t="array" ref="Y415">_xlfn.IFS(H415=0.1,1,H415=0.15,1,H415=0.05,1,H415=0,0)</f>
        <v>0</v>
      </c>
      <c r="Z415">
        <f t="shared" si="47"/>
        <v>0</v>
      </c>
      <c r="AA415">
        <f t="shared" si="48"/>
        <v>2024</v>
      </c>
    </row>
    <row r="416" spans="1:27" x14ac:dyDescent="0.3">
      <c r="A416" s="2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62</v>
      </c>
      <c r="L416" t="s">
        <v>35</v>
      </c>
      <c r="M416">
        <v>1</v>
      </c>
      <c r="N416" t="s">
        <v>874</v>
      </c>
      <c r="O416" t="s">
        <v>875</v>
      </c>
      <c r="P416">
        <v>5.66</v>
      </c>
      <c r="Q416" s="2">
        <v>45028</v>
      </c>
      <c r="R416" s="2">
        <v>45031</v>
      </c>
      <c r="S416" t="s">
        <v>28</v>
      </c>
      <c r="T416">
        <f t="shared" si="42"/>
        <v>1559.5250000000001</v>
      </c>
      <c r="U416">
        <f t="shared" si="43"/>
        <v>15</v>
      </c>
      <c r="V416">
        <f t="shared" si="44"/>
        <v>1826.9</v>
      </c>
      <c r="W416">
        <f t="shared" si="45"/>
        <v>274.03500000000008</v>
      </c>
      <c r="X416">
        <f t="shared" si="46"/>
        <v>3</v>
      </c>
      <c r="Y416" cm="1">
        <f t="array" ref="Y416">_xlfn.IFS(H416=0.1,1,H416=0.15,1,H416=0.05,1,H416=0,0)</f>
        <v>1</v>
      </c>
      <c r="Z416">
        <f t="shared" si="47"/>
        <v>5</v>
      </c>
      <c r="AA416">
        <f t="shared" si="48"/>
        <v>2023</v>
      </c>
    </row>
    <row r="417" spans="1:27" x14ac:dyDescent="0.3">
      <c r="A417" s="2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L417" t="s">
        <v>59</v>
      </c>
      <c r="M417">
        <v>0</v>
      </c>
      <c r="N417" t="s">
        <v>876</v>
      </c>
      <c r="O417" t="s">
        <v>877</v>
      </c>
      <c r="P417">
        <v>10.199999999999999</v>
      </c>
      <c r="Q417" s="2">
        <v>44992</v>
      </c>
      <c r="R417" s="2">
        <v>44998</v>
      </c>
      <c r="S417" t="s">
        <v>38</v>
      </c>
      <c r="T417">
        <f t="shared" si="42"/>
        <v>3387.5049999999997</v>
      </c>
      <c r="U417">
        <f t="shared" si="43"/>
        <v>15</v>
      </c>
      <c r="V417">
        <f t="shared" si="44"/>
        <v>3973.2999999999997</v>
      </c>
      <c r="W417">
        <f t="shared" si="45"/>
        <v>595.99499999999989</v>
      </c>
      <c r="X417">
        <f t="shared" si="46"/>
        <v>6</v>
      </c>
      <c r="Y417" cm="1">
        <f t="array" ref="Y417">_xlfn.IFS(H417=0.1,1,H417=0.15,1,H417=0.05,1,H417=0,0)</f>
        <v>1</v>
      </c>
      <c r="Z417">
        <f t="shared" si="47"/>
        <v>10</v>
      </c>
      <c r="AA417">
        <f t="shared" si="48"/>
        <v>2023</v>
      </c>
    </row>
    <row r="418" spans="1:27" x14ac:dyDescent="0.3">
      <c r="A418" s="2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68</v>
      </c>
      <c r="J418">
        <v>3687.453</v>
      </c>
      <c r="K418" t="s">
        <v>62</v>
      </c>
      <c r="L418" t="s">
        <v>41</v>
      </c>
      <c r="M418">
        <v>0</v>
      </c>
      <c r="N418" t="s">
        <v>878</v>
      </c>
      <c r="O418" t="s">
        <v>879</v>
      </c>
      <c r="P418">
        <v>24.69</v>
      </c>
      <c r="Q418" s="2">
        <v>45296</v>
      </c>
      <c r="R418" s="2">
        <v>45302</v>
      </c>
      <c r="S418" t="s">
        <v>50</v>
      </c>
      <c r="T418">
        <f t="shared" si="42"/>
        <v>3712.143</v>
      </c>
      <c r="U418">
        <f t="shared" si="43"/>
        <v>10</v>
      </c>
      <c r="V418">
        <f t="shared" si="44"/>
        <v>4097.17</v>
      </c>
      <c r="W418">
        <f t="shared" si="45"/>
        <v>409.7170000000001</v>
      </c>
      <c r="X418">
        <f t="shared" si="46"/>
        <v>6</v>
      </c>
      <c r="Y418" cm="1">
        <f t="array" ref="Y418">_xlfn.IFS(H418=0.1,1,H418=0.15,1,H418=0.05,1,H418=0,0)</f>
        <v>1</v>
      </c>
      <c r="Z418">
        <f t="shared" si="47"/>
        <v>17</v>
      </c>
      <c r="AA418">
        <f t="shared" si="48"/>
        <v>2024</v>
      </c>
    </row>
    <row r="419" spans="1:27" x14ac:dyDescent="0.3">
      <c r="A419" s="2">
        <v>45596</v>
      </c>
      <c r="B419" t="s">
        <v>71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65</v>
      </c>
      <c r="L419" t="s">
        <v>41</v>
      </c>
      <c r="M419">
        <v>0</v>
      </c>
      <c r="N419" t="s">
        <v>880</v>
      </c>
      <c r="O419" t="s">
        <v>881</v>
      </c>
      <c r="P419">
        <v>32.5</v>
      </c>
      <c r="Q419" s="2">
        <v>45596</v>
      </c>
      <c r="R419" s="2">
        <v>45606</v>
      </c>
      <c r="S419" t="s">
        <v>74</v>
      </c>
      <c r="T419">
        <f t="shared" si="42"/>
        <v>1429.9</v>
      </c>
      <c r="U419">
        <f t="shared" si="43"/>
        <v>0</v>
      </c>
      <c r="V419">
        <f t="shared" si="44"/>
        <v>1397.4</v>
      </c>
      <c r="W419">
        <f t="shared" si="45"/>
        <v>0</v>
      </c>
      <c r="X419">
        <f t="shared" si="46"/>
        <v>10</v>
      </c>
      <c r="Y419" cm="1">
        <f t="array" ref="Y419">_xlfn.IFS(H419=0.1,1,H419=0.15,1,H419=0.05,1,H419=0,0)</f>
        <v>0</v>
      </c>
      <c r="Z419">
        <f t="shared" si="47"/>
        <v>0</v>
      </c>
      <c r="AA419">
        <f t="shared" si="48"/>
        <v>2024</v>
      </c>
    </row>
    <row r="420" spans="1:27" x14ac:dyDescent="0.3">
      <c r="A420" s="2">
        <v>45420</v>
      </c>
      <c r="B420" t="s">
        <v>71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882</v>
      </c>
      <c r="O420" t="s">
        <v>883</v>
      </c>
      <c r="P420">
        <v>45.93</v>
      </c>
      <c r="Q420" s="2">
        <v>45420</v>
      </c>
      <c r="R420" s="2">
        <v>45426</v>
      </c>
      <c r="S420" t="s">
        <v>74</v>
      </c>
      <c r="T420">
        <f t="shared" si="42"/>
        <v>2506.018</v>
      </c>
      <c r="U420">
        <f t="shared" si="43"/>
        <v>10</v>
      </c>
      <c r="V420">
        <f t="shared" si="44"/>
        <v>2732.32</v>
      </c>
      <c r="W420">
        <f t="shared" si="45"/>
        <v>273.23199999999997</v>
      </c>
      <c r="X420">
        <f t="shared" si="46"/>
        <v>6</v>
      </c>
      <c r="Y420" cm="1">
        <f t="array" ref="Y420">_xlfn.IFS(H420=0.1,1,H420=0.15,1,H420=0.05,1,H420=0,0)</f>
        <v>1</v>
      </c>
      <c r="Z420">
        <f t="shared" si="47"/>
        <v>16</v>
      </c>
      <c r="AA420">
        <f t="shared" si="48"/>
        <v>2024</v>
      </c>
    </row>
    <row r="421" spans="1:27" x14ac:dyDescent="0.3">
      <c r="A421" s="2">
        <v>45356</v>
      </c>
      <c r="B421" t="s">
        <v>45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6.9699999999999989</v>
      </c>
      <c r="K421" t="s">
        <v>62</v>
      </c>
      <c r="L421" t="s">
        <v>59</v>
      </c>
      <c r="M421">
        <v>0</v>
      </c>
      <c r="N421" t="s">
        <v>884</v>
      </c>
      <c r="O421" t="s">
        <v>885</v>
      </c>
      <c r="P421">
        <v>30.35</v>
      </c>
      <c r="Q421" s="2">
        <v>45356</v>
      </c>
      <c r="R421" s="2">
        <v>45366</v>
      </c>
      <c r="S421" t="s">
        <v>50</v>
      </c>
      <c r="T421">
        <f t="shared" si="42"/>
        <v>37.32</v>
      </c>
      <c r="U421">
        <f t="shared" si="43"/>
        <v>15</v>
      </c>
      <c r="V421">
        <f t="shared" si="44"/>
        <v>8.1999999999999993</v>
      </c>
      <c r="W421">
        <f t="shared" si="45"/>
        <v>1.2300000000000004</v>
      </c>
      <c r="X421">
        <f t="shared" si="46"/>
        <v>10</v>
      </c>
      <c r="Y421" cm="1">
        <f t="array" ref="Y421">_xlfn.IFS(H421=0.1,1,H421=0.15,1,H421=0.05,1,H421=0,0)</f>
        <v>1</v>
      </c>
      <c r="Z421">
        <f t="shared" si="47"/>
        <v>1</v>
      </c>
      <c r="AA421">
        <f t="shared" si="48"/>
        <v>2024</v>
      </c>
    </row>
    <row r="422" spans="1:27" x14ac:dyDescent="0.3">
      <c r="A422" s="2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68</v>
      </c>
      <c r="J422">
        <v>4598.424</v>
      </c>
      <c r="K422" t="s">
        <v>24</v>
      </c>
      <c r="L422" t="s">
        <v>59</v>
      </c>
      <c r="M422">
        <v>1</v>
      </c>
      <c r="N422" t="s">
        <v>886</v>
      </c>
      <c r="O422" t="s">
        <v>887</v>
      </c>
      <c r="P422">
        <v>25.48</v>
      </c>
      <c r="Q422" s="2">
        <v>45125</v>
      </c>
      <c r="R422" s="2">
        <v>45129</v>
      </c>
      <c r="S422" t="s">
        <v>44</v>
      </c>
      <c r="T422">
        <f t="shared" si="42"/>
        <v>4624.9039999999995</v>
      </c>
      <c r="U422">
        <f t="shared" si="43"/>
        <v>10</v>
      </c>
      <c r="V422">
        <f t="shared" si="44"/>
        <v>5109.3599999999997</v>
      </c>
      <c r="W422">
        <f t="shared" si="45"/>
        <v>510.93599999999969</v>
      </c>
      <c r="X422">
        <f t="shared" si="46"/>
        <v>4</v>
      </c>
      <c r="Y422" cm="1">
        <f t="array" ref="Y422">_xlfn.IFS(H422=0.1,1,H422=0.15,1,H422=0.05,1,H422=0,0)</f>
        <v>1</v>
      </c>
      <c r="Z422">
        <f t="shared" si="47"/>
        <v>12</v>
      </c>
      <c r="AA422">
        <f t="shared" si="48"/>
        <v>2023</v>
      </c>
    </row>
    <row r="423" spans="1:27" x14ac:dyDescent="0.3">
      <c r="A423" s="2">
        <v>45143</v>
      </c>
      <c r="B423" t="s">
        <v>29</v>
      </c>
      <c r="C423" t="s">
        <v>132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68</v>
      </c>
      <c r="J423">
        <v>2180.52</v>
      </c>
      <c r="K423" t="s">
        <v>58</v>
      </c>
      <c r="L423" t="s">
        <v>25</v>
      </c>
      <c r="M423">
        <v>0</v>
      </c>
      <c r="N423" t="s">
        <v>888</v>
      </c>
      <c r="O423" t="s">
        <v>889</v>
      </c>
      <c r="P423">
        <v>21.47</v>
      </c>
      <c r="Q423" s="2">
        <v>45143</v>
      </c>
      <c r="R423" s="2">
        <v>45152</v>
      </c>
      <c r="S423" t="s">
        <v>38</v>
      </c>
      <c r="T423">
        <f t="shared" si="42"/>
        <v>2201.9899999999998</v>
      </c>
      <c r="U423">
        <f t="shared" si="43"/>
        <v>10</v>
      </c>
      <c r="V423">
        <f t="shared" si="44"/>
        <v>2422.8000000000002</v>
      </c>
      <c r="W423">
        <f t="shared" si="45"/>
        <v>242.2800000000002</v>
      </c>
      <c r="X423">
        <f t="shared" si="46"/>
        <v>9</v>
      </c>
      <c r="Y423" cm="1">
        <f t="array" ref="Y423">_xlfn.IFS(H423=0.1,1,H423=0.15,1,H423=0.05,1,H423=0,0)</f>
        <v>1</v>
      </c>
      <c r="Z423">
        <f t="shared" si="47"/>
        <v>20</v>
      </c>
      <c r="AA423">
        <f t="shared" si="48"/>
        <v>2023</v>
      </c>
    </row>
    <row r="424" spans="1:27" x14ac:dyDescent="0.3">
      <c r="A424" s="2">
        <v>45187</v>
      </c>
      <c r="B424" t="s">
        <v>71</v>
      </c>
      <c r="C424" t="s">
        <v>81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62</v>
      </c>
      <c r="L424" t="s">
        <v>25</v>
      </c>
      <c r="M424">
        <v>0</v>
      </c>
      <c r="N424" t="s">
        <v>890</v>
      </c>
      <c r="O424" t="s">
        <v>891</v>
      </c>
      <c r="P424">
        <v>28.29</v>
      </c>
      <c r="Q424" s="2">
        <v>45187</v>
      </c>
      <c r="R424" s="2">
        <v>45189</v>
      </c>
      <c r="S424" t="s">
        <v>74</v>
      </c>
      <c r="T424">
        <f t="shared" si="42"/>
        <v>8542.76</v>
      </c>
      <c r="U424">
        <f t="shared" si="43"/>
        <v>0</v>
      </c>
      <c r="V424">
        <f t="shared" si="44"/>
        <v>8514.4699999999993</v>
      </c>
      <c r="W424">
        <f t="shared" si="45"/>
        <v>0</v>
      </c>
      <c r="X424">
        <f t="shared" si="46"/>
        <v>2</v>
      </c>
      <c r="Y424" cm="1">
        <f t="array" ref="Y424">_xlfn.IFS(H424=0.1,1,H424=0.15,1,H424=0.05,1,H424=0,0)</f>
        <v>0</v>
      </c>
      <c r="Z424">
        <f t="shared" si="47"/>
        <v>0</v>
      </c>
      <c r="AA424">
        <f t="shared" si="48"/>
        <v>2023</v>
      </c>
    </row>
    <row r="425" spans="1:27" x14ac:dyDescent="0.3">
      <c r="A425" s="2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892</v>
      </c>
      <c r="O425" t="s">
        <v>893</v>
      </c>
      <c r="P425">
        <v>25.03</v>
      </c>
      <c r="Q425" s="2">
        <v>45012</v>
      </c>
      <c r="R425" s="2">
        <v>45014</v>
      </c>
      <c r="S425" t="s">
        <v>38</v>
      </c>
      <c r="T425">
        <f t="shared" si="42"/>
        <v>81.262</v>
      </c>
      <c r="U425">
        <f t="shared" si="43"/>
        <v>10</v>
      </c>
      <c r="V425">
        <f t="shared" si="44"/>
        <v>62.48</v>
      </c>
      <c r="W425">
        <f t="shared" si="45"/>
        <v>6.2479999999999976</v>
      </c>
      <c r="X425">
        <f t="shared" si="46"/>
        <v>2</v>
      </c>
      <c r="Y425" cm="1">
        <f t="array" ref="Y425">_xlfn.IFS(H425=0.1,1,H425=0.15,1,H425=0.05,1,H425=0,0)</f>
        <v>1</v>
      </c>
      <c r="Z425">
        <f t="shared" si="47"/>
        <v>8</v>
      </c>
      <c r="AA425">
        <f t="shared" si="48"/>
        <v>2023</v>
      </c>
    </row>
    <row r="426" spans="1:27" x14ac:dyDescent="0.3">
      <c r="A426" s="2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65</v>
      </c>
      <c r="L426" t="s">
        <v>41</v>
      </c>
      <c r="M426">
        <v>1</v>
      </c>
      <c r="N426" t="s">
        <v>894</v>
      </c>
      <c r="O426" t="s">
        <v>895</v>
      </c>
      <c r="P426">
        <v>35.54</v>
      </c>
      <c r="Q426" s="2">
        <v>44993</v>
      </c>
      <c r="R426" s="2">
        <v>45002</v>
      </c>
      <c r="S426" t="s">
        <v>28</v>
      </c>
      <c r="T426">
        <f t="shared" si="42"/>
        <v>3128.2959999999998</v>
      </c>
      <c r="U426">
        <f t="shared" si="43"/>
        <v>15</v>
      </c>
      <c r="V426">
        <f t="shared" si="44"/>
        <v>3637.36</v>
      </c>
      <c r="W426">
        <f t="shared" si="45"/>
        <v>545.60400000000027</v>
      </c>
      <c r="X426">
        <f t="shared" si="46"/>
        <v>9</v>
      </c>
      <c r="Y426" cm="1">
        <f t="array" ref="Y426">_xlfn.IFS(H426=0.1,1,H426=0.15,1,H426=0.05,1,H426=0,0)</f>
        <v>1</v>
      </c>
      <c r="Z426">
        <f t="shared" si="47"/>
        <v>19</v>
      </c>
      <c r="AA426">
        <f t="shared" si="48"/>
        <v>2023</v>
      </c>
    </row>
    <row r="427" spans="1:27" x14ac:dyDescent="0.3">
      <c r="A427" s="2">
        <v>45414</v>
      </c>
      <c r="B427" t="s">
        <v>71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1042.0999999999999</v>
      </c>
      <c r="K427" t="s">
        <v>24</v>
      </c>
      <c r="L427" t="s">
        <v>59</v>
      </c>
      <c r="M427">
        <v>0</v>
      </c>
      <c r="N427" t="s">
        <v>896</v>
      </c>
      <c r="O427" t="s">
        <v>897</v>
      </c>
      <c r="P427">
        <v>46.37</v>
      </c>
      <c r="Q427" s="2">
        <v>45414</v>
      </c>
      <c r="R427" s="2">
        <v>45418</v>
      </c>
      <c r="S427" t="s">
        <v>74</v>
      </c>
      <c r="T427">
        <f t="shared" si="42"/>
        <v>1088.4699999999998</v>
      </c>
      <c r="U427">
        <f t="shared" si="43"/>
        <v>15</v>
      </c>
      <c r="V427">
        <f t="shared" si="44"/>
        <v>1226</v>
      </c>
      <c r="W427">
        <f t="shared" si="45"/>
        <v>183.90000000000009</v>
      </c>
      <c r="X427">
        <f t="shared" si="46"/>
        <v>4</v>
      </c>
      <c r="Y427" cm="1">
        <f t="array" ref="Y427">_xlfn.IFS(H427=0.1,1,H427=0.15,1,H427=0.05,1,H427=0,0)</f>
        <v>1</v>
      </c>
      <c r="Z427">
        <f t="shared" si="47"/>
        <v>5</v>
      </c>
      <c r="AA427">
        <f t="shared" si="48"/>
        <v>2024</v>
      </c>
    </row>
    <row r="428" spans="1:27" x14ac:dyDescent="0.3">
      <c r="A428" s="2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898</v>
      </c>
      <c r="O428" t="s">
        <v>899</v>
      </c>
      <c r="P428">
        <v>5.36</v>
      </c>
      <c r="Q428" s="2">
        <v>45185</v>
      </c>
      <c r="R428" s="2">
        <v>45195</v>
      </c>
      <c r="S428" t="s">
        <v>44</v>
      </c>
      <c r="T428">
        <f t="shared" si="42"/>
        <v>2366.0565000000001</v>
      </c>
      <c r="U428">
        <f t="shared" si="43"/>
        <v>15</v>
      </c>
      <c r="V428">
        <f t="shared" si="44"/>
        <v>2777.29</v>
      </c>
      <c r="W428">
        <f t="shared" si="45"/>
        <v>416.59349999999995</v>
      </c>
      <c r="X428">
        <f t="shared" si="46"/>
        <v>10</v>
      </c>
      <c r="Y428" cm="1">
        <f t="array" ref="Y428">_xlfn.IFS(H428=0.1,1,H428=0.15,1,H428=0.05,1,H428=0,0)</f>
        <v>1</v>
      </c>
      <c r="Z428">
        <f t="shared" si="47"/>
        <v>17</v>
      </c>
      <c r="AA428">
        <f t="shared" si="48"/>
        <v>2023</v>
      </c>
    </row>
    <row r="429" spans="1:27" x14ac:dyDescent="0.3">
      <c r="A429" s="2">
        <v>45090</v>
      </c>
      <c r="B429" t="s">
        <v>29</v>
      </c>
      <c r="C429" t="s">
        <v>81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8175.4400000000014</v>
      </c>
      <c r="K429" t="s">
        <v>62</v>
      </c>
      <c r="L429" t="s">
        <v>41</v>
      </c>
      <c r="M429">
        <v>0</v>
      </c>
      <c r="N429" t="s">
        <v>900</v>
      </c>
      <c r="O429" t="s">
        <v>901</v>
      </c>
      <c r="P429">
        <v>23.03</v>
      </c>
      <c r="Q429" s="2">
        <v>45090</v>
      </c>
      <c r="R429" s="2">
        <v>45099</v>
      </c>
      <c r="S429" t="s">
        <v>38</v>
      </c>
      <c r="T429">
        <f t="shared" si="42"/>
        <v>8198.4700000000012</v>
      </c>
      <c r="U429">
        <f t="shared" si="43"/>
        <v>0</v>
      </c>
      <c r="V429">
        <f t="shared" si="44"/>
        <v>8175.4400000000005</v>
      </c>
      <c r="W429">
        <f t="shared" si="45"/>
        <v>0</v>
      </c>
      <c r="X429">
        <f t="shared" si="46"/>
        <v>9</v>
      </c>
      <c r="Y429" cm="1">
        <f t="array" ref="Y429">_xlfn.IFS(H429=0.1,1,H429=0.15,1,H429=0.05,1,H429=0,0)</f>
        <v>0</v>
      </c>
      <c r="Z429">
        <f t="shared" si="47"/>
        <v>0</v>
      </c>
      <c r="AA429">
        <f t="shared" si="48"/>
        <v>2023</v>
      </c>
    </row>
    <row r="430" spans="1:27" x14ac:dyDescent="0.3">
      <c r="A430" s="2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902</v>
      </c>
      <c r="O430" t="s">
        <v>903</v>
      </c>
      <c r="P430">
        <v>39.840000000000003</v>
      </c>
      <c r="Q430" s="2">
        <v>45235</v>
      </c>
      <c r="R430" s="2">
        <v>45238</v>
      </c>
      <c r="S430" t="s">
        <v>44</v>
      </c>
      <c r="T430">
        <f t="shared" si="42"/>
        <v>2647.3920000000003</v>
      </c>
      <c r="U430">
        <f t="shared" si="43"/>
        <v>10</v>
      </c>
      <c r="V430">
        <f t="shared" si="44"/>
        <v>2897.28</v>
      </c>
      <c r="W430">
        <f t="shared" si="45"/>
        <v>289.72800000000007</v>
      </c>
      <c r="X430">
        <f t="shared" si="46"/>
        <v>3</v>
      </c>
      <c r="Y430" cm="1">
        <f t="array" ref="Y430">_xlfn.IFS(H430=0.1,1,H430=0.15,1,H430=0.05,1,H430=0,0)</f>
        <v>1</v>
      </c>
      <c r="Z430">
        <f t="shared" si="47"/>
        <v>16</v>
      </c>
      <c r="AA430">
        <f t="shared" si="48"/>
        <v>2023</v>
      </c>
    </row>
    <row r="431" spans="1:27" x14ac:dyDescent="0.3">
      <c r="A431" s="2">
        <v>45619</v>
      </c>
      <c r="B431" t="s">
        <v>29</v>
      </c>
      <c r="C431" t="s">
        <v>81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62</v>
      </c>
      <c r="L431" t="s">
        <v>35</v>
      </c>
      <c r="M431">
        <v>0</v>
      </c>
      <c r="N431" t="s">
        <v>904</v>
      </c>
      <c r="O431" t="s">
        <v>905</v>
      </c>
      <c r="P431">
        <v>46.58</v>
      </c>
      <c r="Q431" s="2">
        <v>45619</v>
      </c>
      <c r="R431" s="2">
        <v>45622</v>
      </c>
      <c r="S431" t="s">
        <v>38</v>
      </c>
      <c r="T431">
        <f t="shared" si="42"/>
        <v>3366.1</v>
      </c>
      <c r="U431">
        <f t="shared" si="43"/>
        <v>0</v>
      </c>
      <c r="V431">
        <f t="shared" si="44"/>
        <v>3319.52</v>
      </c>
      <c r="W431">
        <f t="shared" si="45"/>
        <v>0</v>
      </c>
      <c r="X431">
        <f t="shared" si="46"/>
        <v>3</v>
      </c>
      <c r="Y431" cm="1">
        <f t="array" ref="Y431">_xlfn.IFS(H431=0.1,1,H431=0.15,1,H431=0.05,1,H431=0,0)</f>
        <v>0</v>
      </c>
      <c r="Z431">
        <f t="shared" si="47"/>
        <v>0</v>
      </c>
      <c r="AA431">
        <f t="shared" si="48"/>
        <v>2024</v>
      </c>
    </row>
    <row r="432" spans="1:27" x14ac:dyDescent="0.3">
      <c r="A432" s="2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65</v>
      </c>
      <c r="L432" t="s">
        <v>25</v>
      </c>
      <c r="M432">
        <v>0</v>
      </c>
      <c r="N432" t="s">
        <v>906</v>
      </c>
      <c r="O432" t="s">
        <v>907</v>
      </c>
      <c r="P432">
        <v>27.36</v>
      </c>
      <c r="Q432" s="2">
        <v>45331</v>
      </c>
      <c r="R432" s="2">
        <v>45340</v>
      </c>
      <c r="S432" t="s">
        <v>50</v>
      </c>
      <c r="T432">
        <f t="shared" si="42"/>
        <v>7102.88</v>
      </c>
      <c r="U432">
        <f t="shared" si="43"/>
        <v>0</v>
      </c>
      <c r="V432">
        <f t="shared" si="44"/>
        <v>7075.52</v>
      </c>
      <c r="W432">
        <f t="shared" si="45"/>
        <v>0</v>
      </c>
      <c r="X432">
        <f t="shared" si="46"/>
        <v>9</v>
      </c>
      <c r="Y432" cm="1">
        <f t="array" ref="Y432">_xlfn.IFS(H432=0.1,1,H432=0.15,1,H432=0.05,1,H432=0,0)</f>
        <v>0</v>
      </c>
      <c r="Z432">
        <f t="shared" si="47"/>
        <v>0</v>
      </c>
      <c r="AA432">
        <f t="shared" si="48"/>
        <v>2024</v>
      </c>
    </row>
    <row r="433" spans="1:27" x14ac:dyDescent="0.3">
      <c r="A433" s="2">
        <v>45246</v>
      </c>
      <c r="B433" t="s">
        <v>45</v>
      </c>
      <c r="C433" t="s">
        <v>132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68</v>
      </c>
      <c r="J433">
        <v>7501.9139999999998</v>
      </c>
      <c r="K433" t="s">
        <v>58</v>
      </c>
      <c r="L433" t="s">
        <v>35</v>
      </c>
      <c r="M433">
        <v>0</v>
      </c>
      <c r="N433" t="s">
        <v>908</v>
      </c>
      <c r="O433" t="s">
        <v>909</v>
      </c>
      <c r="P433">
        <v>9.51</v>
      </c>
      <c r="Q433" s="2">
        <v>45246</v>
      </c>
      <c r="R433" s="2">
        <v>45252</v>
      </c>
      <c r="S433" t="s">
        <v>50</v>
      </c>
      <c r="T433">
        <f t="shared" si="42"/>
        <v>7511.424</v>
      </c>
      <c r="U433">
        <f t="shared" si="43"/>
        <v>10</v>
      </c>
      <c r="V433">
        <f t="shared" si="44"/>
        <v>8335.4599999999991</v>
      </c>
      <c r="W433">
        <f t="shared" si="45"/>
        <v>833.54599999999937</v>
      </c>
      <c r="X433">
        <f t="shared" si="46"/>
        <v>6</v>
      </c>
      <c r="Y433" cm="1">
        <f t="array" ref="Y433">_xlfn.IFS(H433=0.1,1,H433=0.15,1,H433=0.05,1,H433=0,0)</f>
        <v>1</v>
      </c>
      <c r="Z433">
        <f t="shared" si="47"/>
        <v>14</v>
      </c>
      <c r="AA433">
        <f t="shared" si="48"/>
        <v>2023</v>
      </c>
    </row>
    <row r="434" spans="1:27" x14ac:dyDescent="0.3">
      <c r="A434" s="2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894.03000000000009</v>
      </c>
      <c r="K434" t="s">
        <v>65</v>
      </c>
      <c r="L434" t="s">
        <v>35</v>
      </c>
      <c r="M434">
        <v>1</v>
      </c>
      <c r="N434" t="s">
        <v>910</v>
      </c>
      <c r="O434" t="s">
        <v>911</v>
      </c>
      <c r="P434">
        <v>17.920000000000002</v>
      </c>
      <c r="Q434" s="2">
        <v>45681</v>
      </c>
      <c r="R434" s="2">
        <v>45686</v>
      </c>
      <c r="S434" t="s">
        <v>50</v>
      </c>
      <c r="T434">
        <f t="shared" si="42"/>
        <v>912.95</v>
      </c>
      <c r="U434">
        <f t="shared" si="43"/>
        <v>15</v>
      </c>
      <c r="V434">
        <f t="shared" si="44"/>
        <v>1051.8000000000002</v>
      </c>
      <c r="W434">
        <f t="shared" si="45"/>
        <v>157.7700000000001</v>
      </c>
      <c r="X434">
        <f t="shared" si="46"/>
        <v>5</v>
      </c>
      <c r="Y434" cm="1">
        <f t="array" ref="Y434">_xlfn.IFS(H434=0.1,1,H434=0.15,1,H434=0.05,1,H434=0,0)</f>
        <v>1</v>
      </c>
      <c r="Z434">
        <f t="shared" si="47"/>
        <v>6</v>
      </c>
      <c r="AA434">
        <f t="shared" si="48"/>
        <v>2025</v>
      </c>
    </row>
    <row r="435" spans="1:27" x14ac:dyDescent="0.3">
      <c r="A435" s="2">
        <v>45783</v>
      </c>
      <c r="B435" t="s">
        <v>45</v>
      </c>
      <c r="C435" t="s">
        <v>81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912</v>
      </c>
      <c r="O435" t="s">
        <v>913</v>
      </c>
      <c r="P435">
        <v>8.4700000000000006</v>
      </c>
      <c r="Q435" s="2">
        <v>45783</v>
      </c>
      <c r="R435" s="2">
        <v>45786</v>
      </c>
      <c r="S435" t="s">
        <v>50</v>
      </c>
      <c r="T435">
        <f t="shared" si="42"/>
        <v>1911.0305000000001</v>
      </c>
      <c r="U435">
        <f t="shared" si="43"/>
        <v>15</v>
      </c>
      <c r="V435">
        <f t="shared" si="44"/>
        <v>2237.1299999999997</v>
      </c>
      <c r="W435">
        <f t="shared" si="45"/>
        <v>335.56949999999961</v>
      </c>
      <c r="X435">
        <f t="shared" si="46"/>
        <v>3</v>
      </c>
      <c r="Y435" cm="1">
        <f t="array" ref="Y435">_xlfn.IFS(H435=0.1,1,H435=0.15,1,H435=0.05,1,H435=0,0)</f>
        <v>1</v>
      </c>
      <c r="Z435">
        <f t="shared" si="47"/>
        <v>7</v>
      </c>
      <c r="AA435">
        <f t="shared" si="48"/>
        <v>2025</v>
      </c>
    </row>
    <row r="436" spans="1:27" x14ac:dyDescent="0.3">
      <c r="A436" s="2">
        <v>45794</v>
      </c>
      <c r="B436" t="s">
        <v>19</v>
      </c>
      <c r="C436" t="s">
        <v>132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68</v>
      </c>
      <c r="J436">
        <v>6461.8274999999994</v>
      </c>
      <c r="K436" t="s">
        <v>65</v>
      </c>
      <c r="L436" t="s">
        <v>25</v>
      </c>
      <c r="M436">
        <v>1</v>
      </c>
      <c r="N436" t="s">
        <v>914</v>
      </c>
      <c r="O436" t="s">
        <v>915</v>
      </c>
      <c r="P436">
        <v>41.03</v>
      </c>
      <c r="Q436" s="2">
        <v>45794</v>
      </c>
      <c r="R436" s="2">
        <v>45804</v>
      </c>
      <c r="S436" t="s">
        <v>28</v>
      </c>
      <c r="T436">
        <f t="shared" si="42"/>
        <v>6503.8574999999992</v>
      </c>
      <c r="U436">
        <f t="shared" si="43"/>
        <v>15</v>
      </c>
      <c r="V436">
        <f t="shared" si="44"/>
        <v>7602.15</v>
      </c>
      <c r="W436">
        <f t="shared" si="45"/>
        <v>1140.3225000000002</v>
      </c>
      <c r="X436">
        <f t="shared" si="46"/>
        <v>10</v>
      </c>
      <c r="Y436" cm="1">
        <f t="array" ref="Y436">_xlfn.IFS(H436=0.1,1,H436=0.15,1,H436=0.05,1,H436=0,0)</f>
        <v>1</v>
      </c>
      <c r="Z436">
        <f t="shared" si="47"/>
        <v>15</v>
      </c>
      <c r="AA436">
        <f t="shared" si="48"/>
        <v>2025</v>
      </c>
    </row>
    <row r="437" spans="1:27" x14ac:dyDescent="0.3">
      <c r="A437" s="2">
        <v>45259</v>
      </c>
      <c r="B437" t="s">
        <v>45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62</v>
      </c>
      <c r="L437" t="s">
        <v>25</v>
      </c>
      <c r="M437">
        <v>0</v>
      </c>
      <c r="N437" t="s">
        <v>916</v>
      </c>
      <c r="O437" t="s">
        <v>917</v>
      </c>
      <c r="P437">
        <v>19.61</v>
      </c>
      <c r="Q437" s="2">
        <v>45259</v>
      </c>
      <c r="R437" s="2">
        <v>45261</v>
      </c>
      <c r="S437" t="s">
        <v>50</v>
      </c>
      <c r="T437">
        <f t="shared" si="42"/>
        <v>8709.6020000000008</v>
      </c>
      <c r="U437">
        <f t="shared" si="43"/>
        <v>5</v>
      </c>
      <c r="V437">
        <f t="shared" si="44"/>
        <v>9147.36</v>
      </c>
      <c r="W437">
        <f t="shared" si="45"/>
        <v>457.36800000000039</v>
      </c>
      <c r="X437">
        <f t="shared" si="46"/>
        <v>2</v>
      </c>
      <c r="Y437" cm="1">
        <f t="array" ref="Y437">_xlfn.IFS(H437=0.1,1,H437=0.15,1,H437=0.05,1,H437=0,0)</f>
        <v>1</v>
      </c>
      <c r="Z437">
        <f t="shared" si="47"/>
        <v>17</v>
      </c>
      <c r="AA437">
        <f t="shared" si="48"/>
        <v>2023</v>
      </c>
    </row>
    <row r="438" spans="1:27" x14ac:dyDescent="0.3">
      <c r="A438" s="2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918</v>
      </c>
      <c r="O438" t="s">
        <v>919</v>
      </c>
      <c r="P438">
        <v>18.649999999999999</v>
      </c>
      <c r="Q438" s="2">
        <v>44981</v>
      </c>
      <c r="R438" s="2">
        <v>44983</v>
      </c>
      <c r="S438" t="s">
        <v>38</v>
      </c>
      <c r="T438">
        <f t="shared" si="42"/>
        <v>3024.09</v>
      </c>
      <c r="U438">
        <f t="shared" si="43"/>
        <v>0</v>
      </c>
      <c r="V438">
        <f t="shared" si="44"/>
        <v>3005.44</v>
      </c>
      <c r="W438">
        <f t="shared" si="45"/>
        <v>0</v>
      </c>
      <c r="X438">
        <f t="shared" si="46"/>
        <v>2</v>
      </c>
      <c r="Y438" cm="1">
        <f t="array" ref="Y438">_xlfn.IFS(H438=0.1,1,H438=0.15,1,H438=0.05,1,H438=0,0)</f>
        <v>0</v>
      </c>
      <c r="Z438">
        <f t="shared" si="47"/>
        <v>0</v>
      </c>
      <c r="AA438">
        <f t="shared" si="48"/>
        <v>2023</v>
      </c>
    </row>
    <row r="439" spans="1:27" x14ac:dyDescent="0.3">
      <c r="A439" s="2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L439" t="s">
        <v>59</v>
      </c>
      <c r="M439">
        <v>1</v>
      </c>
      <c r="N439" t="s">
        <v>920</v>
      </c>
      <c r="O439" t="s">
        <v>921</v>
      </c>
      <c r="P439">
        <v>29.81</v>
      </c>
      <c r="Q439" s="2">
        <v>45234</v>
      </c>
      <c r="R439" s="2">
        <v>45240</v>
      </c>
      <c r="S439" t="s">
        <v>38</v>
      </c>
      <c r="T439">
        <f t="shared" si="42"/>
        <v>6553.2000000000007</v>
      </c>
      <c r="U439">
        <f t="shared" si="43"/>
        <v>15</v>
      </c>
      <c r="V439">
        <f t="shared" si="44"/>
        <v>7673.4000000000005</v>
      </c>
      <c r="W439">
        <f t="shared" si="45"/>
        <v>1151.0100000000002</v>
      </c>
      <c r="X439">
        <f t="shared" si="46"/>
        <v>6</v>
      </c>
      <c r="Y439" cm="1">
        <f t="array" ref="Y439">_xlfn.IFS(H439=0.1,1,H439=0.15,1,H439=0.05,1,H439=0,0)</f>
        <v>1</v>
      </c>
      <c r="Z439">
        <f t="shared" si="47"/>
        <v>18</v>
      </c>
      <c r="AA439">
        <f t="shared" si="48"/>
        <v>2023</v>
      </c>
    </row>
    <row r="440" spans="1:27" x14ac:dyDescent="0.3">
      <c r="A440" s="2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922</v>
      </c>
      <c r="O440" t="s">
        <v>923</v>
      </c>
      <c r="P440">
        <v>34.700000000000003</v>
      </c>
      <c r="Q440" s="2">
        <v>45458</v>
      </c>
      <c r="R440" s="2">
        <v>45465</v>
      </c>
      <c r="S440" t="s">
        <v>28</v>
      </c>
      <c r="T440">
        <f t="shared" si="42"/>
        <v>483.21499999999997</v>
      </c>
      <c r="U440">
        <f t="shared" si="43"/>
        <v>10</v>
      </c>
      <c r="V440">
        <f t="shared" si="44"/>
        <v>498.35</v>
      </c>
      <c r="W440">
        <f t="shared" si="45"/>
        <v>49.835000000000036</v>
      </c>
      <c r="X440">
        <f t="shared" si="46"/>
        <v>7</v>
      </c>
      <c r="Y440" cm="1">
        <f t="array" ref="Y440">_xlfn.IFS(H440=0.1,1,H440=0.15,1,H440=0.05,1,H440=0,0)</f>
        <v>1</v>
      </c>
      <c r="Z440">
        <f t="shared" si="47"/>
        <v>1</v>
      </c>
      <c r="AA440">
        <f t="shared" si="48"/>
        <v>2024</v>
      </c>
    </row>
    <row r="441" spans="1:27" x14ac:dyDescent="0.3">
      <c r="A441" s="2">
        <v>45567</v>
      </c>
      <c r="B441" t="s">
        <v>39</v>
      </c>
      <c r="C441" t="s">
        <v>81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65</v>
      </c>
      <c r="L441" t="s">
        <v>35</v>
      </c>
      <c r="M441">
        <v>1</v>
      </c>
      <c r="N441" t="s">
        <v>924</v>
      </c>
      <c r="O441" t="s">
        <v>925</v>
      </c>
      <c r="P441">
        <v>12.46</v>
      </c>
      <c r="Q441" s="2">
        <v>45567</v>
      </c>
      <c r="R441" s="2">
        <v>45571</v>
      </c>
      <c r="S441" t="s">
        <v>44</v>
      </c>
      <c r="T441">
        <f t="shared" si="42"/>
        <v>6975.7060000000001</v>
      </c>
      <c r="U441">
        <f t="shared" si="43"/>
        <v>5</v>
      </c>
      <c r="V441">
        <f t="shared" si="44"/>
        <v>7328.68</v>
      </c>
      <c r="W441">
        <f t="shared" si="45"/>
        <v>366.4340000000002</v>
      </c>
      <c r="X441">
        <f t="shared" si="46"/>
        <v>4</v>
      </c>
      <c r="Y441" cm="1">
        <f t="array" ref="Y441">_xlfn.IFS(H441=0.1,1,H441=0.15,1,H441=0.05,1,H441=0,0)</f>
        <v>1</v>
      </c>
      <c r="Z441">
        <f t="shared" si="47"/>
        <v>19</v>
      </c>
      <c r="AA441">
        <f t="shared" si="48"/>
        <v>2024</v>
      </c>
    </row>
    <row r="442" spans="1:27" x14ac:dyDescent="0.3">
      <c r="A442" s="2">
        <v>45080</v>
      </c>
      <c r="B442" t="s">
        <v>71</v>
      </c>
      <c r="C442" t="s">
        <v>81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926</v>
      </c>
      <c r="O442" t="s">
        <v>927</v>
      </c>
      <c r="P442">
        <v>48.71</v>
      </c>
      <c r="Q442" s="2">
        <v>45080</v>
      </c>
      <c r="R442" s="2">
        <v>45090</v>
      </c>
      <c r="S442" t="s">
        <v>74</v>
      </c>
      <c r="T442">
        <f t="shared" si="42"/>
        <v>195.50900000000001</v>
      </c>
      <c r="U442">
        <f t="shared" si="43"/>
        <v>10</v>
      </c>
      <c r="V442">
        <f t="shared" si="44"/>
        <v>163.10999999999999</v>
      </c>
      <c r="W442">
        <f t="shared" si="45"/>
        <v>16.310999999999979</v>
      </c>
      <c r="X442">
        <f t="shared" si="46"/>
        <v>10</v>
      </c>
      <c r="Y442" cm="1">
        <f t="array" ref="Y442">_xlfn.IFS(H442=0.1,1,H442=0.15,1,H442=0.05,1,H442=0,0)</f>
        <v>1</v>
      </c>
      <c r="Z442">
        <f t="shared" si="47"/>
        <v>3</v>
      </c>
      <c r="AA442">
        <f t="shared" si="48"/>
        <v>2023</v>
      </c>
    </row>
    <row r="443" spans="1:27" x14ac:dyDescent="0.3">
      <c r="A443" s="2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L443" t="s">
        <v>59</v>
      </c>
      <c r="M443">
        <v>0</v>
      </c>
      <c r="N443" t="s">
        <v>928</v>
      </c>
      <c r="O443" t="s">
        <v>929</v>
      </c>
      <c r="P443">
        <v>36.79</v>
      </c>
      <c r="Q443" s="2">
        <v>45179</v>
      </c>
      <c r="R443" s="2">
        <v>45187</v>
      </c>
      <c r="S443" t="s">
        <v>28</v>
      </c>
      <c r="T443">
        <f t="shared" si="42"/>
        <v>2442.6639999999998</v>
      </c>
      <c r="U443">
        <f t="shared" si="43"/>
        <v>15</v>
      </c>
      <c r="V443">
        <f t="shared" si="44"/>
        <v>2830.44</v>
      </c>
      <c r="W443">
        <f t="shared" si="45"/>
        <v>424.56600000000026</v>
      </c>
      <c r="X443">
        <f t="shared" si="46"/>
        <v>8</v>
      </c>
      <c r="Y443" cm="1">
        <f t="array" ref="Y443">_xlfn.IFS(H443=0.1,1,H443=0.15,1,H443=0.05,1,H443=0,0)</f>
        <v>1</v>
      </c>
      <c r="Z443">
        <f t="shared" si="47"/>
        <v>6</v>
      </c>
      <c r="AA443">
        <f t="shared" si="48"/>
        <v>2023</v>
      </c>
    </row>
    <row r="444" spans="1:27" x14ac:dyDescent="0.3">
      <c r="A444" s="2">
        <v>45797</v>
      </c>
      <c r="B444" t="s">
        <v>45</v>
      </c>
      <c r="C444" t="s">
        <v>132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68</v>
      </c>
      <c r="J444">
        <v>5205.3065000000006</v>
      </c>
      <c r="K444" t="s">
        <v>65</v>
      </c>
      <c r="L444" t="s">
        <v>25</v>
      </c>
      <c r="M444">
        <v>0</v>
      </c>
      <c r="N444" t="s">
        <v>930</v>
      </c>
      <c r="O444" t="s">
        <v>931</v>
      </c>
      <c r="P444">
        <v>33.950000000000003</v>
      </c>
      <c r="Q444" s="2">
        <v>45797</v>
      </c>
      <c r="R444" s="2">
        <v>45799</v>
      </c>
      <c r="S444" t="s">
        <v>50</v>
      </c>
      <c r="T444">
        <f t="shared" si="42"/>
        <v>5239.2565000000004</v>
      </c>
      <c r="U444">
        <f t="shared" si="43"/>
        <v>15</v>
      </c>
      <c r="V444">
        <f t="shared" si="44"/>
        <v>6123.89</v>
      </c>
      <c r="W444">
        <f t="shared" si="45"/>
        <v>918.58349999999973</v>
      </c>
      <c r="X444">
        <f t="shared" si="46"/>
        <v>2</v>
      </c>
      <c r="Y444" cm="1">
        <f t="array" ref="Y444">_xlfn.IFS(H444=0.1,1,H444=0.15,1,H444=0.05,1,H444=0,0)</f>
        <v>1</v>
      </c>
      <c r="Z444">
        <f t="shared" si="47"/>
        <v>19</v>
      </c>
      <c r="AA444">
        <f t="shared" si="48"/>
        <v>2025</v>
      </c>
    </row>
    <row r="445" spans="1:27" x14ac:dyDescent="0.3">
      <c r="A445" s="2">
        <v>45193</v>
      </c>
      <c r="B445" t="s">
        <v>39</v>
      </c>
      <c r="C445" t="s">
        <v>81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65</v>
      </c>
      <c r="L445" t="s">
        <v>59</v>
      </c>
      <c r="M445">
        <v>1</v>
      </c>
      <c r="N445" t="s">
        <v>932</v>
      </c>
      <c r="O445" t="s">
        <v>933</v>
      </c>
      <c r="P445">
        <v>28.52</v>
      </c>
      <c r="Q445" s="2">
        <v>45193</v>
      </c>
      <c r="R445" s="2">
        <v>45202</v>
      </c>
      <c r="S445" t="s">
        <v>44</v>
      </c>
      <c r="T445">
        <f t="shared" si="42"/>
        <v>1385.0819999999999</v>
      </c>
      <c r="U445">
        <f t="shared" si="43"/>
        <v>10</v>
      </c>
      <c r="V445">
        <f t="shared" si="44"/>
        <v>1506.18</v>
      </c>
      <c r="W445">
        <f t="shared" si="45"/>
        <v>150.61800000000017</v>
      </c>
      <c r="X445">
        <f t="shared" si="46"/>
        <v>9</v>
      </c>
      <c r="Y445" cm="1">
        <f t="array" ref="Y445">_xlfn.IFS(H445=0.1,1,H445=0.15,1,H445=0.05,1,H445=0,0)</f>
        <v>1</v>
      </c>
      <c r="Z445">
        <f t="shared" si="47"/>
        <v>13</v>
      </c>
      <c r="AA445">
        <f t="shared" si="48"/>
        <v>2023</v>
      </c>
    </row>
    <row r="446" spans="1:27" x14ac:dyDescent="0.3">
      <c r="A446" s="2">
        <v>45745</v>
      </c>
      <c r="B446" t="s">
        <v>19</v>
      </c>
      <c r="C446" t="s">
        <v>81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68</v>
      </c>
      <c r="J446">
        <v>6451.8120000000008</v>
      </c>
      <c r="K446" t="s">
        <v>62</v>
      </c>
      <c r="L446" t="s">
        <v>59</v>
      </c>
      <c r="M446">
        <v>0</v>
      </c>
      <c r="N446" t="s">
        <v>934</v>
      </c>
      <c r="O446" t="s">
        <v>935</v>
      </c>
      <c r="P446">
        <v>16.8</v>
      </c>
      <c r="Q446" s="2">
        <v>45745</v>
      </c>
      <c r="R446" s="2">
        <v>45751</v>
      </c>
      <c r="S446" t="s">
        <v>28</v>
      </c>
      <c r="T446">
        <f t="shared" si="42"/>
        <v>6468.612000000001</v>
      </c>
      <c r="U446">
        <f t="shared" si="43"/>
        <v>10</v>
      </c>
      <c r="V446">
        <f t="shared" si="44"/>
        <v>7168.68</v>
      </c>
      <c r="W446">
        <f t="shared" si="45"/>
        <v>716.86799999999948</v>
      </c>
      <c r="X446">
        <f t="shared" si="46"/>
        <v>6</v>
      </c>
      <c r="Y446" cm="1">
        <f t="array" ref="Y446">_xlfn.IFS(H446=0.1,1,H446=0.15,1,H446=0.05,1,H446=0,0)</f>
        <v>1</v>
      </c>
      <c r="Z446">
        <f t="shared" si="47"/>
        <v>18</v>
      </c>
      <c r="AA446">
        <f t="shared" si="48"/>
        <v>2025</v>
      </c>
    </row>
    <row r="447" spans="1:27" x14ac:dyDescent="0.3">
      <c r="A447" s="2">
        <v>45094</v>
      </c>
      <c r="B447" t="s">
        <v>19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936</v>
      </c>
      <c r="O447" t="s">
        <v>937</v>
      </c>
      <c r="P447">
        <v>16.440000000000001</v>
      </c>
      <c r="Q447" s="2">
        <v>45094</v>
      </c>
      <c r="R447" s="2">
        <v>45102</v>
      </c>
      <c r="S447" t="s">
        <v>28</v>
      </c>
      <c r="T447">
        <f t="shared" si="42"/>
        <v>2121.7200000000003</v>
      </c>
      <c r="U447">
        <f t="shared" si="43"/>
        <v>10</v>
      </c>
      <c r="V447">
        <f t="shared" si="44"/>
        <v>2339.1999999999998</v>
      </c>
      <c r="W447">
        <f t="shared" si="45"/>
        <v>233.91999999999962</v>
      </c>
      <c r="X447">
        <f t="shared" si="46"/>
        <v>8</v>
      </c>
      <c r="Y447" cm="1">
        <f t="array" ref="Y447">_xlfn.IFS(H447=0.1,1,H447=0.15,1,H447=0.05,1,H447=0,0)</f>
        <v>1</v>
      </c>
      <c r="Z447">
        <f t="shared" si="47"/>
        <v>4</v>
      </c>
      <c r="AA447">
        <f t="shared" si="48"/>
        <v>2023</v>
      </c>
    </row>
    <row r="448" spans="1:27" x14ac:dyDescent="0.3">
      <c r="A448" s="2">
        <v>45319</v>
      </c>
      <c r="B448" t="s">
        <v>71</v>
      </c>
      <c r="C448" t="s">
        <v>132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68</v>
      </c>
      <c r="J448">
        <v>7219.9</v>
      </c>
      <c r="K448" t="s">
        <v>24</v>
      </c>
      <c r="L448" t="s">
        <v>25</v>
      </c>
      <c r="M448">
        <v>0</v>
      </c>
      <c r="N448" t="s">
        <v>938</v>
      </c>
      <c r="O448" t="s">
        <v>939</v>
      </c>
      <c r="P448">
        <v>42.03</v>
      </c>
      <c r="Q448" s="2">
        <v>45319</v>
      </c>
      <c r="R448" s="2">
        <v>45327</v>
      </c>
      <c r="S448" t="s">
        <v>74</v>
      </c>
      <c r="T448">
        <f t="shared" si="42"/>
        <v>7261.9299999999994</v>
      </c>
      <c r="U448">
        <f t="shared" si="43"/>
        <v>15</v>
      </c>
      <c r="V448">
        <f t="shared" si="44"/>
        <v>8494</v>
      </c>
      <c r="W448">
        <f t="shared" si="45"/>
        <v>1274.1000000000004</v>
      </c>
      <c r="X448">
        <f t="shared" si="46"/>
        <v>8</v>
      </c>
      <c r="Y448" cm="1">
        <f t="array" ref="Y448">_xlfn.IFS(H448=0.1,1,H448=0.15,1,H448=0.05,1,H448=0,0)</f>
        <v>1</v>
      </c>
      <c r="Z448">
        <f t="shared" si="47"/>
        <v>20</v>
      </c>
      <c r="AA448">
        <f t="shared" si="48"/>
        <v>2024</v>
      </c>
    </row>
    <row r="449" spans="1:27" x14ac:dyDescent="0.3">
      <c r="A449" s="2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940</v>
      </c>
      <c r="O449" t="s">
        <v>941</v>
      </c>
      <c r="P449">
        <v>45.99</v>
      </c>
      <c r="Q449" s="2">
        <v>44999</v>
      </c>
      <c r="R449" s="2">
        <v>45002</v>
      </c>
      <c r="S449" t="s">
        <v>50</v>
      </c>
      <c r="T449">
        <f t="shared" si="42"/>
        <v>2626.7579999999998</v>
      </c>
      <c r="U449">
        <f t="shared" si="43"/>
        <v>10</v>
      </c>
      <c r="V449">
        <f t="shared" si="44"/>
        <v>2867.52</v>
      </c>
      <c r="W449">
        <f t="shared" si="45"/>
        <v>286.75199999999995</v>
      </c>
      <c r="X449">
        <f t="shared" si="46"/>
        <v>3</v>
      </c>
      <c r="Y449" cm="1">
        <f t="array" ref="Y449">_xlfn.IFS(H449=0.1,1,H449=0.15,1,H449=0.05,1,H449=0,0)</f>
        <v>1</v>
      </c>
      <c r="Z449">
        <f t="shared" si="47"/>
        <v>16</v>
      </c>
      <c r="AA449">
        <f t="shared" si="48"/>
        <v>2023</v>
      </c>
    </row>
    <row r="450" spans="1:27" x14ac:dyDescent="0.3">
      <c r="A450" s="2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L450" t="s">
        <v>59</v>
      </c>
      <c r="M450">
        <v>1</v>
      </c>
      <c r="N450" t="s">
        <v>942</v>
      </c>
      <c r="O450" t="s">
        <v>943</v>
      </c>
      <c r="P450">
        <v>27.16</v>
      </c>
      <c r="Q450" s="2">
        <v>45666</v>
      </c>
      <c r="R450" s="2">
        <v>45674</v>
      </c>
      <c r="S450" t="s">
        <v>28</v>
      </c>
      <c r="T450">
        <f t="shared" si="42"/>
        <v>1812.0800000000002</v>
      </c>
      <c r="U450">
        <f t="shared" si="43"/>
        <v>0</v>
      </c>
      <c r="V450">
        <f t="shared" si="44"/>
        <v>1783.92</v>
      </c>
      <c r="W450">
        <f t="shared" si="45"/>
        <v>0</v>
      </c>
      <c r="X450">
        <f t="shared" si="46"/>
        <v>8</v>
      </c>
      <c r="Y450" cm="1">
        <f t="array" ref="Y450">_xlfn.IFS(H450=0.1,1,H450=0.15,1,H450=0.05,1,H450=0,0)</f>
        <v>0</v>
      </c>
      <c r="Z450">
        <f t="shared" si="47"/>
        <v>0</v>
      </c>
      <c r="AA450">
        <f t="shared" si="48"/>
        <v>2025</v>
      </c>
    </row>
    <row r="451" spans="1:27" x14ac:dyDescent="0.3">
      <c r="A451" s="2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68</v>
      </c>
      <c r="J451">
        <v>6261.848</v>
      </c>
      <c r="K451" t="s">
        <v>24</v>
      </c>
      <c r="L451" t="s">
        <v>41</v>
      </c>
      <c r="M451">
        <v>0</v>
      </c>
      <c r="N451" t="s">
        <v>944</v>
      </c>
      <c r="O451" t="s">
        <v>945</v>
      </c>
      <c r="P451">
        <v>20.38</v>
      </c>
      <c r="Q451" s="2">
        <v>45746</v>
      </c>
      <c r="R451" s="2">
        <v>45753</v>
      </c>
      <c r="S451" t="s">
        <v>50</v>
      </c>
      <c r="T451">
        <f t="shared" ref="T451:T514" si="49">SUM(J451:P451)</f>
        <v>6282.2280000000001</v>
      </c>
      <c r="U451">
        <f t="shared" ref="U451:U514" si="50">PRODUCT(100,H451)</f>
        <v>15</v>
      </c>
      <c r="V451">
        <f t="shared" ref="V451:V514" si="51">PRODUCT(D451:E451)</f>
        <v>7366.88</v>
      </c>
      <c r="W451">
        <f t="shared" ref="W451:W514" si="52" xml:space="preserve"> V451-J451</f>
        <v>1105.0320000000002</v>
      </c>
      <c r="X451">
        <f t="shared" ref="X451:X514" si="53">R451-Q451</f>
        <v>7</v>
      </c>
      <c r="Y451" cm="1">
        <f t="array" ref="Y451">_xlfn.IFS(H451=0.1,1,H451=0.15,1,H451=0.05,1,H451=0,0)</f>
        <v>1</v>
      </c>
      <c r="Z451">
        <f t="shared" ref="Z451:Z514" si="54">PRODUCT(Y451,D451)</f>
        <v>16</v>
      </c>
      <c r="AA451">
        <f t="shared" ref="AA451:AA514" si="55">YEAR(A451)</f>
        <v>2025</v>
      </c>
    </row>
    <row r="452" spans="1:27" x14ac:dyDescent="0.3">
      <c r="A452" s="2">
        <v>45222</v>
      </c>
      <c r="B452" t="s">
        <v>19</v>
      </c>
      <c r="C452" t="s">
        <v>81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L452" t="s">
        <v>59</v>
      </c>
      <c r="M452">
        <v>0</v>
      </c>
      <c r="N452" t="s">
        <v>946</v>
      </c>
      <c r="O452" t="s">
        <v>510</v>
      </c>
      <c r="P452">
        <v>32.130000000000003</v>
      </c>
      <c r="Q452" s="2">
        <v>45222</v>
      </c>
      <c r="R452" s="2">
        <v>45227</v>
      </c>
      <c r="S452" t="s">
        <v>28</v>
      </c>
      <c r="T452">
        <f t="shared" si="49"/>
        <v>1620.3875</v>
      </c>
      <c r="U452">
        <f t="shared" si="50"/>
        <v>5</v>
      </c>
      <c r="V452">
        <f t="shared" si="51"/>
        <v>1671.85</v>
      </c>
      <c r="W452">
        <f t="shared" si="52"/>
        <v>83.592499999999973</v>
      </c>
      <c r="X452">
        <f t="shared" si="53"/>
        <v>5</v>
      </c>
      <c r="Y452" cm="1">
        <f t="array" ref="Y452">_xlfn.IFS(H452=0.1,1,H452=0.15,1,H452=0.05,1,H452=0,0)</f>
        <v>1</v>
      </c>
      <c r="Z452">
        <f t="shared" si="54"/>
        <v>5</v>
      </c>
      <c r="AA452">
        <f t="shared" si="55"/>
        <v>2023</v>
      </c>
    </row>
    <row r="453" spans="1:27" x14ac:dyDescent="0.3">
      <c r="A453" s="2">
        <v>45816</v>
      </c>
      <c r="B453" t="s">
        <v>71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947</v>
      </c>
      <c r="O453" t="s">
        <v>948</v>
      </c>
      <c r="P453">
        <v>14.93</v>
      </c>
      <c r="Q453" s="2">
        <v>45816</v>
      </c>
      <c r="R453" s="2">
        <v>45822</v>
      </c>
      <c r="S453" t="s">
        <v>74</v>
      </c>
      <c r="T453">
        <f t="shared" si="49"/>
        <v>1545.2160000000001</v>
      </c>
      <c r="U453">
        <f t="shared" si="50"/>
        <v>15</v>
      </c>
      <c r="V453">
        <f t="shared" si="51"/>
        <v>1799.16</v>
      </c>
      <c r="W453">
        <f t="shared" si="52"/>
        <v>269.87400000000002</v>
      </c>
      <c r="X453">
        <f t="shared" si="53"/>
        <v>6</v>
      </c>
      <c r="Y453" cm="1">
        <f t="array" ref="Y453">_xlfn.IFS(H453=0.1,1,H453=0.15,1,H453=0.05,1,H453=0,0)</f>
        <v>1</v>
      </c>
      <c r="Z453">
        <f t="shared" si="54"/>
        <v>3</v>
      </c>
      <c r="AA453">
        <f t="shared" si="55"/>
        <v>2025</v>
      </c>
    </row>
    <row r="454" spans="1:27" x14ac:dyDescent="0.3">
      <c r="A454" s="2">
        <v>45348</v>
      </c>
      <c r="B454" t="s">
        <v>71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949</v>
      </c>
      <c r="O454" t="s">
        <v>950</v>
      </c>
      <c r="P454">
        <v>10.24</v>
      </c>
      <c r="Q454" s="2">
        <v>45348</v>
      </c>
      <c r="R454" s="2">
        <v>45351</v>
      </c>
      <c r="S454" t="s">
        <v>74</v>
      </c>
      <c r="T454">
        <f t="shared" si="49"/>
        <v>4299.4799999999996</v>
      </c>
      <c r="U454">
        <f t="shared" si="50"/>
        <v>0</v>
      </c>
      <c r="V454">
        <f t="shared" si="51"/>
        <v>4288.24</v>
      </c>
      <c r="W454">
        <f t="shared" si="52"/>
        <v>0</v>
      </c>
      <c r="X454">
        <f t="shared" si="53"/>
        <v>3</v>
      </c>
      <c r="Y454" cm="1">
        <f t="array" ref="Y454">_xlfn.IFS(H454=0.1,1,H454=0.15,1,H454=0.05,1,H454=0,0)</f>
        <v>0</v>
      </c>
      <c r="Z454">
        <f t="shared" si="54"/>
        <v>0</v>
      </c>
      <c r="AA454">
        <f t="shared" si="55"/>
        <v>2024</v>
      </c>
    </row>
    <row r="455" spans="1:27" x14ac:dyDescent="0.3">
      <c r="A455" s="2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951</v>
      </c>
      <c r="O455" t="s">
        <v>952</v>
      </c>
      <c r="P455">
        <v>18.07</v>
      </c>
      <c r="Q455" s="2">
        <v>45595</v>
      </c>
      <c r="R455" s="2">
        <v>45603</v>
      </c>
      <c r="S455" t="s">
        <v>28</v>
      </c>
      <c r="T455">
        <f t="shared" si="49"/>
        <v>4430.9949999999999</v>
      </c>
      <c r="U455">
        <f t="shared" si="50"/>
        <v>10</v>
      </c>
      <c r="V455">
        <f t="shared" si="51"/>
        <v>4903.25</v>
      </c>
      <c r="W455">
        <f t="shared" si="52"/>
        <v>490.32499999999982</v>
      </c>
      <c r="X455">
        <f t="shared" si="53"/>
        <v>8</v>
      </c>
      <c r="Y455" cm="1">
        <f t="array" ref="Y455">_xlfn.IFS(H455=0.1,1,H455=0.15,1,H455=0.05,1,H455=0,0)</f>
        <v>1</v>
      </c>
      <c r="Z455">
        <f t="shared" si="54"/>
        <v>11</v>
      </c>
      <c r="AA455">
        <f t="shared" si="55"/>
        <v>2024</v>
      </c>
    </row>
    <row r="456" spans="1:27" x14ac:dyDescent="0.3">
      <c r="A456" s="2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65</v>
      </c>
      <c r="L456" t="s">
        <v>35</v>
      </c>
      <c r="M456">
        <v>1</v>
      </c>
      <c r="N456" t="s">
        <v>953</v>
      </c>
      <c r="O456" t="s">
        <v>954</v>
      </c>
      <c r="P456">
        <v>8.1</v>
      </c>
      <c r="Q456" s="2">
        <v>45523</v>
      </c>
      <c r="R456" s="2">
        <v>45527</v>
      </c>
      <c r="S456" t="s">
        <v>38</v>
      </c>
      <c r="T456">
        <f t="shared" si="49"/>
        <v>1490.752</v>
      </c>
      <c r="U456">
        <f t="shared" si="50"/>
        <v>15</v>
      </c>
      <c r="V456">
        <f t="shared" si="51"/>
        <v>1743.1200000000001</v>
      </c>
      <c r="W456">
        <f t="shared" si="52"/>
        <v>261.46800000000007</v>
      </c>
      <c r="X456">
        <f t="shared" si="53"/>
        <v>4</v>
      </c>
      <c r="Y456" cm="1">
        <f t="array" ref="Y456">_xlfn.IFS(H456=0.1,1,H456=0.15,1,H456=0.05,1,H456=0,0)</f>
        <v>1</v>
      </c>
      <c r="Z456">
        <f t="shared" si="54"/>
        <v>18</v>
      </c>
      <c r="AA456">
        <f t="shared" si="55"/>
        <v>2024</v>
      </c>
    </row>
    <row r="457" spans="1:27" x14ac:dyDescent="0.3">
      <c r="A457" s="2">
        <v>45137</v>
      </c>
      <c r="B457" t="s">
        <v>45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955</v>
      </c>
      <c r="O457" t="s">
        <v>99</v>
      </c>
      <c r="P457">
        <v>24.55</v>
      </c>
      <c r="Q457" s="2">
        <v>45137</v>
      </c>
      <c r="R457" s="2">
        <v>45147</v>
      </c>
      <c r="S457" t="s">
        <v>50</v>
      </c>
      <c r="T457">
        <f t="shared" si="49"/>
        <v>500.029</v>
      </c>
      <c r="U457">
        <f t="shared" si="50"/>
        <v>10</v>
      </c>
      <c r="V457">
        <f t="shared" si="51"/>
        <v>528.30999999999995</v>
      </c>
      <c r="W457">
        <f t="shared" si="52"/>
        <v>52.83099999999996</v>
      </c>
      <c r="X457">
        <f t="shared" si="53"/>
        <v>10</v>
      </c>
      <c r="Y457" cm="1">
        <f t="array" ref="Y457">_xlfn.IFS(H457=0.1,1,H457=0.15,1,H457=0.05,1,H457=0,0)</f>
        <v>1</v>
      </c>
      <c r="Z457">
        <f t="shared" si="54"/>
        <v>1</v>
      </c>
      <c r="AA457">
        <f t="shared" si="55"/>
        <v>2023</v>
      </c>
    </row>
    <row r="458" spans="1:27" x14ac:dyDescent="0.3">
      <c r="A458" s="2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956</v>
      </c>
      <c r="O458" t="s">
        <v>957</v>
      </c>
      <c r="P458">
        <v>16.71</v>
      </c>
      <c r="Q458" s="2">
        <v>45517</v>
      </c>
      <c r="R458" s="2">
        <v>45527</v>
      </c>
      <c r="S458" t="s">
        <v>44</v>
      </c>
      <c r="T458">
        <f t="shared" si="49"/>
        <v>1042.19</v>
      </c>
      <c r="U458">
        <f t="shared" si="50"/>
        <v>0</v>
      </c>
      <c r="V458">
        <f t="shared" si="51"/>
        <v>1024.48</v>
      </c>
      <c r="W458">
        <f t="shared" si="52"/>
        <v>0</v>
      </c>
      <c r="X458">
        <f t="shared" si="53"/>
        <v>10</v>
      </c>
      <c r="Y458" cm="1">
        <f t="array" ref="Y458">_xlfn.IFS(H458=0.1,1,H458=0.15,1,H458=0.05,1,H458=0,0)</f>
        <v>0</v>
      </c>
      <c r="Z458">
        <f t="shared" si="54"/>
        <v>0</v>
      </c>
      <c r="AA458">
        <f t="shared" si="55"/>
        <v>2024</v>
      </c>
    </row>
    <row r="459" spans="1:27" x14ac:dyDescent="0.3">
      <c r="A459" s="2">
        <v>45234</v>
      </c>
      <c r="B459" t="s">
        <v>39</v>
      </c>
      <c r="C459" t="s">
        <v>132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958</v>
      </c>
      <c r="O459" t="s">
        <v>959</v>
      </c>
      <c r="P459">
        <v>35.28</v>
      </c>
      <c r="Q459" s="2">
        <v>45234</v>
      </c>
      <c r="R459" s="2">
        <v>45242</v>
      </c>
      <c r="S459" t="s">
        <v>44</v>
      </c>
      <c r="T459">
        <f t="shared" si="49"/>
        <v>2250.4995000000004</v>
      </c>
      <c r="U459">
        <f t="shared" si="50"/>
        <v>5</v>
      </c>
      <c r="V459">
        <f t="shared" si="51"/>
        <v>2331.81</v>
      </c>
      <c r="W459">
        <f t="shared" si="52"/>
        <v>116.59049999999979</v>
      </c>
      <c r="X459">
        <f t="shared" si="53"/>
        <v>8</v>
      </c>
      <c r="Y459" cm="1">
        <f t="array" ref="Y459">_xlfn.IFS(H459=0.1,1,H459=0.15,1,H459=0.05,1,H459=0,0)</f>
        <v>1</v>
      </c>
      <c r="Z459">
        <f t="shared" si="54"/>
        <v>13</v>
      </c>
      <c r="AA459">
        <f t="shared" si="55"/>
        <v>2023</v>
      </c>
    </row>
    <row r="460" spans="1:27" x14ac:dyDescent="0.3">
      <c r="A460" s="2">
        <v>45813</v>
      </c>
      <c r="B460" t="s">
        <v>19</v>
      </c>
      <c r="C460" t="s">
        <v>132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L460" t="s">
        <v>59</v>
      </c>
      <c r="M460">
        <v>0</v>
      </c>
      <c r="N460" t="s">
        <v>960</v>
      </c>
      <c r="O460" t="s">
        <v>961</v>
      </c>
      <c r="P460">
        <v>48.68</v>
      </c>
      <c r="Q460" s="2">
        <v>45813</v>
      </c>
      <c r="R460" s="2">
        <v>45823</v>
      </c>
      <c r="S460" t="s">
        <v>28</v>
      </c>
      <c r="T460">
        <f t="shared" si="49"/>
        <v>9380.5300000000007</v>
      </c>
      <c r="U460">
        <f t="shared" si="50"/>
        <v>0</v>
      </c>
      <c r="V460">
        <f t="shared" si="51"/>
        <v>9331.85</v>
      </c>
      <c r="W460">
        <f t="shared" si="52"/>
        <v>0</v>
      </c>
      <c r="X460">
        <f t="shared" si="53"/>
        <v>10</v>
      </c>
      <c r="Y460" cm="1">
        <f t="array" ref="Y460">_xlfn.IFS(H460=0.1,1,H460=0.15,1,H460=0.05,1,H460=0,0)</f>
        <v>0</v>
      </c>
      <c r="Z460">
        <f t="shared" si="54"/>
        <v>0</v>
      </c>
      <c r="AA460">
        <f t="shared" si="55"/>
        <v>2025</v>
      </c>
    </row>
    <row r="461" spans="1:27" x14ac:dyDescent="0.3">
      <c r="A461" s="2">
        <v>45100</v>
      </c>
      <c r="B461" t="s">
        <v>39</v>
      </c>
      <c r="C461" t="s">
        <v>132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L461" t="s">
        <v>59</v>
      </c>
      <c r="M461">
        <v>0</v>
      </c>
      <c r="N461" t="s">
        <v>962</v>
      </c>
      <c r="O461" t="s">
        <v>963</v>
      </c>
      <c r="P461">
        <v>33.76</v>
      </c>
      <c r="Q461" s="2">
        <v>45100</v>
      </c>
      <c r="R461" s="2">
        <v>45105</v>
      </c>
      <c r="S461" t="s">
        <v>44</v>
      </c>
      <c r="T461">
        <f t="shared" si="49"/>
        <v>1835.46</v>
      </c>
      <c r="U461">
        <f t="shared" si="50"/>
        <v>0</v>
      </c>
      <c r="V461">
        <f t="shared" si="51"/>
        <v>1801.6999999999998</v>
      </c>
      <c r="W461">
        <f t="shared" si="52"/>
        <v>0</v>
      </c>
      <c r="X461">
        <f t="shared" si="53"/>
        <v>5</v>
      </c>
      <c r="Y461" cm="1">
        <f t="array" ref="Y461">_xlfn.IFS(H461=0.1,1,H461=0.15,1,H461=0.05,1,H461=0,0)</f>
        <v>0</v>
      </c>
      <c r="Z461">
        <f t="shared" si="54"/>
        <v>0</v>
      </c>
      <c r="AA461">
        <f t="shared" si="55"/>
        <v>2023</v>
      </c>
    </row>
    <row r="462" spans="1:27" x14ac:dyDescent="0.3">
      <c r="A462" s="2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5342.4000000000005</v>
      </c>
      <c r="K462" t="s">
        <v>34</v>
      </c>
      <c r="L462" t="s">
        <v>59</v>
      </c>
      <c r="M462">
        <v>0</v>
      </c>
      <c r="N462" t="s">
        <v>964</v>
      </c>
      <c r="O462" t="s">
        <v>965</v>
      </c>
      <c r="P462">
        <v>19.57</v>
      </c>
      <c r="Q462" s="2">
        <v>45556</v>
      </c>
      <c r="R462" s="2">
        <v>45563</v>
      </c>
      <c r="S462" t="s">
        <v>38</v>
      </c>
      <c r="T462">
        <f t="shared" si="49"/>
        <v>5361.97</v>
      </c>
      <c r="U462">
        <f t="shared" si="50"/>
        <v>10</v>
      </c>
      <c r="V462">
        <f t="shared" si="51"/>
        <v>5936</v>
      </c>
      <c r="W462">
        <f t="shared" si="52"/>
        <v>593.59999999999945</v>
      </c>
      <c r="X462">
        <f t="shared" si="53"/>
        <v>7</v>
      </c>
      <c r="Y462" cm="1">
        <f t="array" ref="Y462">_xlfn.IFS(H462=0.1,1,H462=0.15,1,H462=0.05,1,H462=0,0)</f>
        <v>1</v>
      </c>
      <c r="Z462">
        <f t="shared" si="54"/>
        <v>20</v>
      </c>
      <c r="AA462">
        <f t="shared" si="55"/>
        <v>2024</v>
      </c>
    </row>
    <row r="463" spans="1:27" x14ac:dyDescent="0.3">
      <c r="A463" s="2">
        <v>45292</v>
      </c>
      <c r="B463" t="s">
        <v>29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68</v>
      </c>
      <c r="J463">
        <v>1618.434</v>
      </c>
      <c r="K463" t="s">
        <v>24</v>
      </c>
      <c r="L463" t="s">
        <v>35</v>
      </c>
      <c r="M463">
        <v>0</v>
      </c>
      <c r="N463" t="s">
        <v>966</v>
      </c>
      <c r="O463" t="s">
        <v>967</v>
      </c>
      <c r="P463">
        <v>48.02</v>
      </c>
      <c r="Q463" s="2">
        <v>45292</v>
      </c>
      <c r="R463" s="2">
        <v>45294</v>
      </c>
      <c r="S463" t="s">
        <v>38</v>
      </c>
      <c r="T463">
        <f t="shared" si="49"/>
        <v>1666.454</v>
      </c>
      <c r="U463">
        <f t="shared" si="50"/>
        <v>10</v>
      </c>
      <c r="V463">
        <f t="shared" si="51"/>
        <v>1798.2599999999998</v>
      </c>
      <c r="W463">
        <f t="shared" si="52"/>
        <v>179.82599999999979</v>
      </c>
      <c r="X463">
        <f t="shared" si="53"/>
        <v>2</v>
      </c>
      <c r="Y463" cm="1">
        <f t="array" ref="Y463">_xlfn.IFS(H463=0.1,1,H463=0.15,1,H463=0.05,1,H463=0,0)</f>
        <v>1</v>
      </c>
      <c r="Z463">
        <f t="shared" si="54"/>
        <v>3</v>
      </c>
      <c r="AA463">
        <f t="shared" si="55"/>
        <v>2024</v>
      </c>
    </row>
    <row r="464" spans="1:27" x14ac:dyDescent="0.3">
      <c r="A464" s="2">
        <v>45659</v>
      </c>
      <c r="B464" t="s">
        <v>71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968</v>
      </c>
      <c r="O464" t="s">
        <v>969</v>
      </c>
      <c r="P464">
        <v>33.31</v>
      </c>
      <c r="Q464" s="2">
        <v>45659</v>
      </c>
      <c r="R464" s="2">
        <v>45669</v>
      </c>
      <c r="S464" t="s">
        <v>74</v>
      </c>
      <c r="T464">
        <f t="shared" si="49"/>
        <v>407.64</v>
      </c>
      <c r="U464">
        <f t="shared" si="50"/>
        <v>0</v>
      </c>
      <c r="V464">
        <f t="shared" si="51"/>
        <v>374.33</v>
      </c>
      <c r="W464">
        <f t="shared" si="52"/>
        <v>0</v>
      </c>
      <c r="X464">
        <f t="shared" si="53"/>
        <v>10</v>
      </c>
      <c r="Y464" cm="1">
        <f t="array" ref="Y464">_xlfn.IFS(H464=0.1,1,H464=0.15,1,H464=0.05,1,H464=0,0)</f>
        <v>0</v>
      </c>
      <c r="Z464">
        <f t="shared" si="54"/>
        <v>0</v>
      </c>
      <c r="AA464">
        <f t="shared" si="55"/>
        <v>2025</v>
      </c>
    </row>
    <row r="465" spans="1:27" x14ac:dyDescent="0.3">
      <c r="A465" s="2">
        <v>45365</v>
      </c>
      <c r="B465" t="s">
        <v>39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65</v>
      </c>
      <c r="L465" t="s">
        <v>35</v>
      </c>
      <c r="M465">
        <v>0</v>
      </c>
      <c r="N465" t="s">
        <v>970</v>
      </c>
      <c r="O465" t="s">
        <v>971</v>
      </c>
      <c r="P465">
        <v>45.03</v>
      </c>
      <c r="Q465" s="2">
        <v>45365</v>
      </c>
      <c r="R465" s="2">
        <v>45372</v>
      </c>
      <c r="S465" t="s">
        <v>44</v>
      </c>
      <c r="T465">
        <f t="shared" si="49"/>
        <v>6551.2699999999995</v>
      </c>
      <c r="U465">
        <f t="shared" si="50"/>
        <v>15</v>
      </c>
      <c r="V465">
        <f t="shared" si="51"/>
        <v>7654.4</v>
      </c>
      <c r="W465">
        <f t="shared" si="52"/>
        <v>1148.1599999999999</v>
      </c>
      <c r="X465">
        <f t="shared" si="53"/>
        <v>7</v>
      </c>
      <c r="Y465" cm="1">
        <f t="array" ref="Y465">_xlfn.IFS(H465=0.1,1,H465=0.15,1,H465=0.05,1,H465=0,0)</f>
        <v>1</v>
      </c>
      <c r="Z465">
        <f t="shared" si="54"/>
        <v>13</v>
      </c>
      <c r="AA465">
        <f t="shared" si="55"/>
        <v>2024</v>
      </c>
    </row>
    <row r="466" spans="1:27" x14ac:dyDescent="0.3">
      <c r="A466" s="2">
        <v>45416</v>
      </c>
      <c r="B466" t="s">
        <v>71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65</v>
      </c>
      <c r="L466" t="s">
        <v>35</v>
      </c>
      <c r="M466">
        <v>1</v>
      </c>
      <c r="N466" t="s">
        <v>972</v>
      </c>
      <c r="O466" t="s">
        <v>973</v>
      </c>
      <c r="P466">
        <v>31.51</v>
      </c>
      <c r="Q466" s="2">
        <v>45416</v>
      </c>
      <c r="R466" s="2">
        <v>45421</v>
      </c>
      <c r="S466" t="s">
        <v>74</v>
      </c>
      <c r="T466">
        <f t="shared" si="49"/>
        <v>2612.23</v>
      </c>
      <c r="U466">
        <f t="shared" si="50"/>
        <v>0</v>
      </c>
      <c r="V466">
        <f t="shared" si="51"/>
        <v>2579.7199999999998</v>
      </c>
      <c r="W466">
        <f t="shared" si="52"/>
        <v>0</v>
      </c>
      <c r="X466">
        <f t="shared" si="53"/>
        <v>5</v>
      </c>
      <c r="Y466" cm="1">
        <f t="array" ref="Y466">_xlfn.IFS(H466=0.1,1,H466=0.15,1,H466=0.05,1,H466=0,0)</f>
        <v>0</v>
      </c>
      <c r="Z466">
        <f t="shared" si="54"/>
        <v>0</v>
      </c>
      <c r="AA466">
        <f t="shared" si="55"/>
        <v>2024</v>
      </c>
    </row>
    <row r="467" spans="1:27" x14ac:dyDescent="0.3">
      <c r="A467" s="2">
        <v>45715</v>
      </c>
      <c r="B467" t="s">
        <v>29</v>
      </c>
      <c r="C467" t="s">
        <v>132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65</v>
      </c>
      <c r="L467" t="s">
        <v>25</v>
      </c>
      <c r="M467">
        <v>0</v>
      </c>
      <c r="N467" t="s">
        <v>974</v>
      </c>
      <c r="O467" t="s">
        <v>668</v>
      </c>
      <c r="P467">
        <v>38.99</v>
      </c>
      <c r="Q467" s="2">
        <v>45715</v>
      </c>
      <c r="R467" s="2">
        <v>45718</v>
      </c>
      <c r="S467" t="s">
        <v>38</v>
      </c>
      <c r="T467">
        <f t="shared" si="49"/>
        <v>4649.3899999999994</v>
      </c>
      <c r="U467">
        <f t="shared" si="50"/>
        <v>0</v>
      </c>
      <c r="V467">
        <f t="shared" si="51"/>
        <v>4610.3999999999996</v>
      </c>
      <c r="W467">
        <f t="shared" si="52"/>
        <v>0</v>
      </c>
      <c r="X467">
        <f t="shared" si="53"/>
        <v>3</v>
      </c>
      <c r="Y467" cm="1">
        <f t="array" ref="Y467">_xlfn.IFS(H467=0.1,1,H467=0.15,1,H467=0.05,1,H467=0,0)</f>
        <v>0</v>
      </c>
      <c r="Z467">
        <f t="shared" si="54"/>
        <v>0</v>
      </c>
      <c r="AA467">
        <f t="shared" si="55"/>
        <v>2025</v>
      </c>
    </row>
    <row r="468" spans="1:27" x14ac:dyDescent="0.3">
      <c r="A468" s="2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65</v>
      </c>
      <c r="L468" t="s">
        <v>41</v>
      </c>
      <c r="M468">
        <v>0</v>
      </c>
      <c r="N468" t="s">
        <v>975</v>
      </c>
      <c r="O468" t="s">
        <v>976</v>
      </c>
      <c r="P468">
        <v>11.6</v>
      </c>
      <c r="Q468" s="2">
        <v>45609</v>
      </c>
      <c r="R468" s="2">
        <v>45613</v>
      </c>
      <c r="S468" t="s">
        <v>50</v>
      </c>
      <c r="T468">
        <f t="shared" si="49"/>
        <v>1628.2659999999998</v>
      </c>
      <c r="U468">
        <f t="shared" si="50"/>
        <v>15</v>
      </c>
      <c r="V468">
        <f t="shared" si="51"/>
        <v>1901.96</v>
      </c>
      <c r="W468">
        <f t="shared" si="52"/>
        <v>285.2940000000001</v>
      </c>
      <c r="X468">
        <f t="shared" si="53"/>
        <v>4</v>
      </c>
      <c r="Y468" cm="1">
        <f t="array" ref="Y468">_xlfn.IFS(H468=0.1,1,H468=0.15,1,H468=0.05,1,H468=0,0)</f>
        <v>1</v>
      </c>
      <c r="Z468">
        <f t="shared" si="54"/>
        <v>4</v>
      </c>
      <c r="AA468">
        <f t="shared" si="55"/>
        <v>2024</v>
      </c>
    </row>
    <row r="469" spans="1:27" x14ac:dyDescent="0.3">
      <c r="A469" s="2">
        <v>45230</v>
      </c>
      <c r="B469" t="s">
        <v>71</v>
      </c>
      <c r="C469" t="s">
        <v>132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977</v>
      </c>
      <c r="O469" t="s">
        <v>978</v>
      </c>
      <c r="P469">
        <v>43.55</v>
      </c>
      <c r="Q469" s="2">
        <v>45230</v>
      </c>
      <c r="R469" s="2">
        <v>45240</v>
      </c>
      <c r="S469" t="s">
        <v>74</v>
      </c>
      <c r="T469">
        <f t="shared" si="49"/>
        <v>1139.588</v>
      </c>
      <c r="U469">
        <f t="shared" si="50"/>
        <v>10</v>
      </c>
      <c r="V469">
        <f t="shared" si="51"/>
        <v>1217.82</v>
      </c>
      <c r="W469">
        <f t="shared" si="52"/>
        <v>121.78199999999993</v>
      </c>
      <c r="X469">
        <f t="shared" si="53"/>
        <v>10</v>
      </c>
      <c r="Y469" cm="1">
        <f t="array" ref="Y469">_xlfn.IFS(H469=0.1,1,H469=0.15,1,H469=0.05,1,H469=0,0)</f>
        <v>1</v>
      </c>
      <c r="Z469">
        <f t="shared" si="54"/>
        <v>6</v>
      </c>
      <c r="AA469">
        <f t="shared" si="55"/>
        <v>2023</v>
      </c>
    </row>
    <row r="470" spans="1:27" x14ac:dyDescent="0.3">
      <c r="A470" s="2">
        <v>45279</v>
      </c>
      <c r="B470" t="s">
        <v>45</v>
      </c>
      <c r="C470" t="s">
        <v>81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979</v>
      </c>
      <c r="O470" t="s">
        <v>980</v>
      </c>
      <c r="P470">
        <v>46.1</v>
      </c>
      <c r="Q470" s="2">
        <v>45279</v>
      </c>
      <c r="R470" s="2">
        <v>45284</v>
      </c>
      <c r="S470" t="s">
        <v>50</v>
      </c>
      <c r="T470">
        <f t="shared" si="49"/>
        <v>2481.2399999999998</v>
      </c>
      <c r="U470">
        <f t="shared" si="50"/>
        <v>0</v>
      </c>
      <c r="V470">
        <f t="shared" si="51"/>
        <v>2434.14</v>
      </c>
      <c r="W470">
        <f t="shared" si="52"/>
        <v>0</v>
      </c>
      <c r="X470">
        <f t="shared" si="53"/>
        <v>5</v>
      </c>
      <c r="Y470" cm="1">
        <f t="array" ref="Y470">_xlfn.IFS(H470=0.1,1,H470=0.15,1,H470=0.05,1,H470=0,0)</f>
        <v>0</v>
      </c>
      <c r="Z470">
        <f t="shared" si="54"/>
        <v>0</v>
      </c>
      <c r="AA470">
        <f t="shared" si="55"/>
        <v>2023</v>
      </c>
    </row>
    <row r="471" spans="1:27" x14ac:dyDescent="0.3">
      <c r="A471" s="2">
        <v>45257</v>
      </c>
      <c r="B471" t="s">
        <v>29</v>
      </c>
      <c r="C471" t="s">
        <v>81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6771.5999999999995</v>
      </c>
      <c r="K471" t="s">
        <v>65</v>
      </c>
      <c r="L471" t="s">
        <v>25</v>
      </c>
      <c r="M471">
        <v>1</v>
      </c>
      <c r="N471" t="s">
        <v>981</v>
      </c>
      <c r="O471" t="s">
        <v>982</v>
      </c>
      <c r="P471">
        <v>26.7</v>
      </c>
      <c r="Q471" s="2">
        <v>45257</v>
      </c>
      <c r="R471" s="2">
        <v>45263</v>
      </c>
      <c r="S471" t="s">
        <v>38</v>
      </c>
      <c r="T471">
        <f t="shared" si="49"/>
        <v>6799.2999999999993</v>
      </c>
      <c r="U471">
        <f t="shared" si="50"/>
        <v>5</v>
      </c>
      <c r="V471">
        <f t="shared" si="51"/>
        <v>7128</v>
      </c>
      <c r="W471">
        <f t="shared" si="52"/>
        <v>356.40000000000055</v>
      </c>
      <c r="X471">
        <f t="shared" si="53"/>
        <v>6</v>
      </c>
      <c r="Y471" cm="1">
        <f t="array" ref="Y471">_xlfn.IFS(H471=0.1,1,H471=0.15,1,H471=0.05,1,H471=0,0)</f>
        <v>1</v>
      </c>
      <c r="Z471">
        <f t="shared" si="54"/>
        <v>20</v>
      </c>
      <c r="AA471">
        <f t="shared" si="55"/>
        <v>2023</v>
      </c>
    </row>
    <row r="472" spans="1:27" x14ac:dyDescent="0.3">
      <c r="A472" s="2">
        <v>45153</v>
      </c>
      <c r="B472" t="s">
        <v>19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65</v>
      </c>
      <c r="L472" t="s">
        <v>35</v>
      </c>
      <c r="M472">
        <v>0</v>
      </c>
      <c r="N472" t="s">
        <v>983</v>
      </c>
      <c r="O472" t="s">
        <v>984</v>
      </c>
      <c r="P472">
        <v>45.33</v>
      </c>
      <c r="Q472" s="2">
        <v>45153</v>
      </c>
      <c r="R472" s="2">
        <v>45156</v>
      </c>
      <c r="S472" t="s">
        <v>28</v>
      </c>
      <c r="T472">
        <f t="shared" si="49"/>
        <v>885.28200000000004</v>
      </c>
      <c r="U472">
        <f t="shared" si="50"/>
        <v>5</v>
      </c>
      <c r="V472">
        <f t="shared" si="51"/>
        <v>884.16000000000008</v>
      </c>
      <c r="W472">
        <f t="shared" si="52"/>
        <v>44.208000000000084</v>
      </c>
      <c r="X472">
        <f t="shared" si="53"/>
        <v>3</v>
      </c>
      <c r="Y472" cm="1">
        <f t="array" ref="Y472">_xlfn.IFS(H472=0.1,1,H472=0.15,1,H472=0.05,1,H472=0,0)</f>
        <v>1</v>
      </c>
      <c r="Z472">
        <f t="shared" si="54"/>
        <v>3</v>
      </c>
      <c r="AA472">
        <f t="shared" si="55"/>
        <v>2023</v>
      </c>
    </row>
    <row r="473" spans="1:27" x14ac:dyDescent="0.3">
      <c r="A473" s="2">
        <v>44942</v>
      </c>
      <c r="B473" t="s">
        <v>71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65</v>
      </c>
      <c r="L473" t="s">
        <v>41</v>
      </c>
      <c r="M473">
        <v>0</v>
      </c>
      <c r="N473" t="s">
        <v>985</v>
      </c>
      <c r="O473" t="s">
        <v>986</v>
      </c>
      <c r="P473">
        <v>33.21</v>
      </c>
      <c r="Q473" s="2">
        <v>44942</v>
      </c>
      <c r="R473" s="2">
        <v>44950</v>
      </c>
      <c r="S473" t="s">
        <v>74</v>
      </c>
      <c r="T473">
        <f t="shared" si="49"/>
        <v>11110.21</v>
      </c>
      <c r="U473">
        <f t="shared" si="50"/>
        <v>0</v>
      </c>
      <c r="V473">
        <f t="shared" si="51"/>
        <v>11077</v>
      </c>
      <c r="W473">
        <f t="shared" si="52"/>
        <v>0</v>
      </c>
      <c r="X473">
        <f t="shared" si="53"/>
        <v>8</v>
      </c>
      <c r="Y473" cm="1">
        <f t="array" ref="Y473">_xlfn.IFS(H473=0.1,1,H473=0.15,1,H473=0.05,1,H473=0,0)</f>
        <v>0</v>
      </c>
      <c r="Z473">
        <f t="shared" si="54"/>
        <v>0</v>
      </c>
      <c r="AA473">
        <f t="shared" si="55"/>
        <v>2023</v>
      </c>
    </row>
    <row r="474" spans="1:27" x14ac:dyDescent="0.3">
      <c r="A474" s="2">
        <v>45716</v>
      </c>
      <c r="B474" t="s">
        <v>45</v>
      </c>
      <c r="C474" t="s">
        <v>81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949.68900000000008</v>
      </c>
      <c r="K474" t="s">
        <v>65</v>
      </c>
      <c r="L474" t="s">
        <v>35</v>
      </c>
      <c r="M474">
        <v>1</v>
      </c>
      <c r="N474" t="s">
        <v>987</v>
      </c>
      <c r="O474" t="s">
        <v>988</v>
      </c>
      <c r="P474">
        <v>48.21</v>
      </c>
      <c r="Q474" s="2">
        <v>45716</v>
      </c>
      <c r="R474" s="2">
        <v>45724</v>
      </c>
      <c r="S474" t="s">
        <v>50</v>
      </c>
      <c r="T474">
        <f t="shared" si="49"/>
        <v>998.89900000000011</v>
      </c>
      <c r="U474">
        <f t="shared" si="50"/>
        <v>10</v>
      </c>
      <c r="V474">
        <f t="shared" si="51"/>
        <v>1055.21</v>
      </c>
      <c r="W474">
        <f t="shared" si="52"/>
        <v>105.52099999999996</v>
      </c>
      <c r="X474">
        <f t="shared" si="53"/>
        <v>8</v>
      </c>
      <c r="Y474" cm="1">
        <f t="array" ref="Y474">_xlfn.IFS(H474=0.1,1,H474=0.15,1,H474=0.05,1,H474=0,0)</f>
        <v>1</v>
      </c>
      <c r="Z474">
        <f t="shared" si="54"/>
        <v>13</v>
      </c>
      <c r="AA474">
        <f t="shared" si="55"/>
        <v>2025</v>
      </c>
    </row>
    <row r="475" spans="1:27" x14ac:dyDescent="0.3">
      <c r="A475" s="2">
        <v>45258</v>
      </c>
      <c r="B475" t="s">
        <v>71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989</v>
      </c>
      <c r="O475" t="s">
        <v>990</v>
      </c>
      <c r="P475">
        <v>49.67</v>
      </c>
      <c r="Q475" s="2">
        <v>45258</v>
      </c>
      <c r="R475" s="2">
        <v>45261</v>
      </c>
      <c r="S475" t="s">
        <v>74</v>
      </c>
      <c r="T475">
        <f t="shared" si="49"/>
        <v>1115.69</v>
      </c>
      <c r="U475">
        <f t="shared" si="50"/>
        <v>0</v>
      </c>
      <c r="V475">
        <f t="shared" si="51"/>
        <v>1065.02</v>
      </c>
      <c r="W475">
        <f t="shared" si="52"/>
        <v>0</v>
      </c>
      <c r="X475">
        <f t="shared" si="53"/>
        <v>3</v>
      </c>
      <c r="Y475" cm="1">
        <f t="array" ref="Y475">_xlfn.IFS(H475=0.1,1,H475=0.15,1,H475=0.05,1,H475=0,0)</f>
        <v>0</v>
      </c>
      <c r="Z475">
        <f t="shared" si="54"/>
        <v>0</v>
      </c>
      <c r="AA475">
        <f t="shared" si="55"/>
        <v>2023</v>
      </c>
    </row>
    <row r="476" spans="1:27" x14ac:dyDescent="0.3">
      <c r="A476" s="2">
        <v>45264</v>
      </c>
      <c r="B476" t="s">
        <v>71</v>
      </c>
      <c r="C476" t="s">
        <v>132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991</v>
      </c>
      <c r="O476" t="s">
        <v>992</v>
      </c>
      <c r="P476">
        <v>9.48</v>
      </c>
      <c r="Q476" s="2">
        <v>45264</v>
      </c>
      <c r="R476" s="2">
        <v>45273</v>
      </c>
      <c r="S476" t="s">
        <v>74</v>
      </c>
      <c r="T476">
        <f t="shared" si="49"/>
        <v>250.851</v>
      </c>
      <c r="U476">
        <f t="shared" si="50"/>
        <v>10</v>
      </c>
      <c r="V476">
        <f t="shared" si="51"/>
        <v>268.19</v>
      </c>
      <c r="W476">
        <f t="shared" si="52"/>
        <v>26.818999999999988</v>
      </c>
      <c r="X476">
        <f t="shared" si="53"/>
        <v>9</v>
      </c>
      <c r="Y476" cm="1">
        <f t="array" ref="Y476">_xlfn.IFS(H476=0.1,1,H476=0.15,1,H476=0.05,1,H476=0,0)</f>
        <v>1</v>
      </c>
      <c r="Z476">
        <f t="shared" si="54"/>
        <v>1</v>
      </c>
      <c r="AA476">
        <f t="shared" si="55"/>
        <v>2023</v>
      </c>
    </row>
    <row r="477" spans="1:27" x14ac:dyDescent="0.3">
      <c r="A477" s="2">
        <v>45464</v>
      </c>
      <c r="B477" t="s">
        <v>29</v>
      </c>
      <c r="C477" t="s">
        <v>132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65</v>
      </c>
      <c r="L477" t="s">
        <v>25</v>
      </c>
      <c r="M477">
        <v>0</v>
      </c>
      <c r="N477" t="s">
        <v>993</v>
      </c>
      <c r="O477" t="s">
        <v>994</v>
      </c>
      <c r="P477">
        <v>18.850000000000001</v>
      </c>
      <c r="Q477" s="2">
        <v>45464</v>
      </c>
      <c r="R477" s="2">
        <v>45472</v>
      </c>
      <c r="S477" t="s">
        <v>38</v>
      </c>
      <c r="T477">
        <f t="shared" si="49"/>
        <v>6270.6424999999999</v>
      </c>
      <c r="U477">
        <f t="shared" si="50"/>
        <v>15</v>
      </c>
      <c r="V477">
        <f t="shared" si="51"/>
        <v>7355.0499999999993</v>
      </c>
      <c r="W477">
        <f t="shared" si="52"/>
        <v>1103.2574999999997</v>
      </c>
      <c r="X477">
        <f t="shared" si="53"/>
        <v>8</v>
      </c>
      <c r="Y477" cm="1">
        <f t="array" ref="Y477">_xlfn.IFS(H477=0.1,1,H477=0.15,1,H477=0.05,1,H477=0,0)</f>
        <v>1</v>
      </c>
      <c r="Z477">
        <f t="shared" si="54"/>
        <v>17</v>
      </c>
      <c r="AA477">
        <f t="shared" si="55"/>
        <v>2024</v>
      </c>
    </row>
    <row r="478" spans="1:27" x14ac:dyDescent="0.3">
      <c r="A478" s="2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65</v>
      </c>
      <c r="L478" t="s">
        <v>41</v>
      </c>
      <c r="M478">
        <v>1</v>
      </c>
      <c r="N478" t="s">
        <v>995</v>
      </c>
      <c r="O478" t="s">
        <v>996</v>
      </c>
      <c r="P478">
        <v>43.28</v>
      </c>
      <c r="Q478" s="2">
        <v>45733</v>
      </c>
      <c r="R478" s="2">
        <v>45742</v>
      </c>
      <c r="S478" t="s">
        <v>28</v>
      </c>
      <c r="T478">
        <f t="shared" si="49"/>
        <v>1594.5840000000001</v>
      </c>
      <c r="U478">
        <f t="shared" si="50"/>
        <v>10</v>
      </c>
      <c r="V478">
        <f t="shared" si="51"/>
        <v>1722.5600000000002</v>
      </c>
      <c r="W478">
        <f t="shared" si="52"/>
        <v>172.25600000000009</v>
      </c>
      <c r="X478">
        <f t="shared" si="53"/>
        <v>9</v>
      </c>
      <c r="Y478" cm="1">
        <f t="array" ref="Y478">_xlfn.IFS(H478=0.1,1,H478=0.15,1,H478=0.05,1,H478=0,0)</f>
        <v>1</v>
      </c>
      <c r="Z478">
        <f t="shared" si="54"/>
        <v>14</v>
      </c>
      <c r="AA478">
        <f t="shared" si="55"/>
        <v>2025</v>
      </c>
    </row>
    <row r="479" spans="1:27" x14ac:dyDescent="0.3">
      <c r="A479" s="2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68</v>
      </c>
      <c r="J479">
        <v>6545.3760000000002</v>
      </c>
      <c r="K479" t="s">
        <v>24</v>
      </c>
      <c r="L479" t="s">
        <v>25</v>
      </c>
      <c r="M479">
        <v>0</v>
      </c>
      <c r="N479" t="s">
        <v>997</v>
      </c>
      <c r="O479" t="s">
        <v>998</v>
      </c>
      <c r="P479">
        <v>20.55</v>
      </c>
      <c r="Q479" s="2">
        <v>45155</v>
      </c>
      <c r="R479" s="2">
        <v>45157</v>
      </c>
      <c r="S479" t="s">
        <v>50</v>
      </c>
      <c r="T479">
        <f t="shared" si="49"/>
        <v>6565.9260000000004</v>
      </c>
      <c r="U479">
        <f t="shared" si="50"/>
        <v>10</v>
      </c>
      <c r="V479">
        <f t="shared" si="51"/>
        <v>7272.64</v>
      </c>
      <c r="W479">
        <f t="shared" si="52"/>
        <v>727.26400000000012</v>
      </c>
      <c r="X479">
        <f t="shared" si="53"/>
        <v>2</v>
      </c>
      <c r="Y479" cm="1">
        <f t="array" ref="Y479">_xlfn.IFS(H479=0.1,1,H479=0.15,1,H479=0.05,1,H479=0,0)</f>
        <v>1</v>
      </c>
      <c r="Z479">
        <f t="shared" si="54"/>
        <v>16</v>
      </c>
      <c r="AA479">
        <f t="shared" si="55"/>
        <v>2023</v>
      </c>
    </row>
    <row r="480" spans="1:27" x14ac:dyDescent="0.3">
      <c r="A480" s="2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65</v>
      </c>
      <c r="L480" t="s">
        <v>41</v>
      </c>
      <c r="M480">
        <v>0</v>
      </c>
      <c r="N480" t="s">
        <v>999</v>
      </c>
      <c r="O480" t="s">
        <v>360</v>
      </c>
      <c r="P480">
        <v>25.33</v>
      </c>
      <c r="Q480" s="2">
        <v>45168</v>
      </c>
      <c r="R480" s="2">
        <v>45174</v>
      </c>
      <c r="S480" t="s">
        <v>50</v>
      </c>
      <c r="T480">
        <f t="shared" si="49"/>
        <v>4357.6909999999998</v>
      </c>
      <c r="U480">
        <f t="shared" si="50"/>
        <v>5</v>
      </c>
      <c r="V480">
        <f t="shared" si="51"/>
        <v>4560.38</v>
      </c>
      <c r="W480">
        <f t="shared" si="52"/>
        <v>228.01900000000023</v>
      </c>
      <c r="X480">
        <f t="shared" si="53"/>
        <v>6</v>
      </c>
      <c r="Y480" cm="1">
        <f t="array" ref="Y480">_xlfn.IFS(H480=0.1,1,H480=0.15,1,H480=0.05,1,H480=0,0)</f>
        <v>1</v>
      </c>
      <c r="Z480">
        <f t="shared" si="54"/>
        <v>11</v>
      </c>
      <c r="AA480">
        <f t="shared" si="55"/>
        <v>2023</v>
      </c>
    </row>
    <row r="481" spans="1:27" x14ac:dyDescent="0.3">
      <c r="A481" s="2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68</v>
      </c>
      <c r="J481">
        <v>2858.5709999999999</v>
      </c>
      <c r="K481" t="s">
        <v>65</v>
      </c>
      <c r="L481" t="s">
        <v>25</v>
      </c>
      <c r="M481">
        <v>0</v>
      </c>
      <c r="N481" t="s">
        <v>1000</v>
      </c>
      <c r="O481" t="s">
        <v>1001</v>
      </c>
      <c r="P481">
        <v>30.57</v>
      </c>
      <c r="Q481" s="2">
        <v>45824</v>
      </c>
      <c r="R481" s="2">
        <v>45826</v>
      </c>
      <c r="S481" t="s">
        <v>28</v>
      </c>
      <c r="T481">
        <f t="shared" si="49"/>
        <v>2889.1410000000001</v>
      </c>
      <c r="U481">
        <f t="shared" si="50"/>
        <v>10</v>
      </c>
      <c r="V481">
        <f t="shared" si="51"/>
        <v>3176.19</v>
      </c>
      <c r="W481">
        <f t="shared" si="52"/>
        <v>317.61900000000014</v>
      </c>
      <c r="X481">
        <f t="shared" si="53"/>
        <v>2</v>
      </c>
      <c r="Y481" cm="1">
        <f t="array" ref="Y481">_xlfn.IFS(H481=0.1,1,H481=0.15,1,H481=0.05,1,H481=0,0)</f>
        <v>1</v>
      </c>
      <c r="Z481">
        <f t="shared" si="54"/>
        <v>9</v>
      </c>
      <c r="AA481">
        <f t="shared" si="55"/>
        <v>2025</v>
      </c>
    </row>
    <row r="482" spans="1:27" x14ac:dyDescent="0.3">
      <c r="A482" s="2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1002</v>
      </c>
      <c r="O482" t="s">
        <v>1003</v>
      </c>
      <c r="P482">
        <v>26.96</v>
      </c>
      <c r="Q482" s="2">
        <v>45106</v>
      </c>
      <c r="R482" s="2">
        <v>45116</v>
      </c>
      <c r="S482" t="s">
        <v>44</v>
      </c>
      <c r="T482">
        <f t="shared" si="49"/>
        <v>1165.1000000000001</v>
      </c>
      <c r="U482">
        <f t="shared" si="50"/>
        <v>10</v>
      </c>
      <c r="V482">
        <f t="shared" si="51"/>
        <v>1264.5999999999999</v>
      </c>
      <c r="W482">
        <f t="shared" si="52"/>
        <v>126.45999999999981</v>
      </c>
      <c r="X482">
        <f t="shared" si="53"/>
        <v>10</v>
      </c>
      <c r="Y482" cm="1">
        <f t="array" ref="Y482">_xlfn.IFS(H482=0.1,1,H482=0.15,1,H482=0.05,1,H482=0,0)</f>
        <v>1</v>
      </c>
      <c r="Z482">
        <f t="shared" si="54"/>
        <v>10</v>
      </c>
      <c r="AA482">
        <f t="shared" si="55"/>
        <v>2023</v>
      </c>
    </row>
    <row r="483" spans="1:27" x14ac:dyDescent="0.3">
      <c r="A483" s="2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1004</v>
      </c>
      <c r="O483" t="s">
        <v>1005</v>
      </c>
      <c r="P483">
        <v>12.45</v>
      </c>
      <c r="Q483" s="2">
        <v>45151</v>
      </c>
      <c r="R483" s="2">
        <v>45158</v>
      </c>
      <c r="S483" t="s">
        <v>44</v>
      </c>
      <c r="T483">
        <f t="shared" si="49"/>
        <v>887.59</v>
      </c>
      <c r="U483">
        <f t="shared" si="50"/>
        <v>0</v>
      </c>
      <c r="V483">
        <f t="shared" si="51"/>
        <v>875.14</v>
      </c>
      <c r="W483">
        <f t="shared" si="52"/>
        <v>0</v>
      </c>
      <c r="X483">
        <f t="shared" si="53"/>
        <v>7</v>
      </c>
      <c r="Y483" cm="1">
        <f t="array" ref="Y483">_xlfn.IFS(H483=0.1,1,H483=0.15,1,H483=0.05,1,H483=0,0)</f>
        <v>0</v>
      </c>
      <c r="Z483">
        <f t="shared" si="54"/>
        <v>0</v>
      </c>
      <c r="AA483">
        <f t="shared" si="55"/>
        <v>2023</v>
      </c>
    </row>
    <row r="484" spans="1:27" x14ac:dyDescent="0.3">
      <c r="A484" s="2">
        <v>45411</v>
      </c>
      <c r="B484" t="s">
        <v>71</v>
      </c>
      <c r="C484" t="s">
        <v>81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6977.5599999999986</v>
      </c>
      <c r="K484" t="s">
        <v>34</v>
      </c>
      <c r="L484" t="s">
        <v>25</v>
      </c>
      <c r="M484">
        <v>0</v>
      </c>
      <c r="N484" t="s">
        <v>1006</v>
      </c>
      <c r="O484" t="s">
        <v>1007</v>
      </c>
      <c r="P484">
        <v>45.67</v>
      </c>
      <c r="Q484" s="2">
        <v>45411</v>
      </c>
      <c r="R484" s="2">
        <v>45419</v>
      </c>
      <c r="S484" t="s">
        <v>74</v>
      </c>
      <c r="T484">
        <f t="shared" si="49"/>
        <v>7023.2299999999987</v>
      </c>
      <c r="U484">
        <f t="shared" si="50"/>
        <v>5</v>
      </c>
      <c r="V484">
        <f t="shared" si="51"/>
        <v>7344.8</v>
      </c>
      <c r="W484">
        <f t="shared" si="52"/>
        <v>367.2400000000016</v>
      </c>
      <c r="X484">
        <f t="shared" si="53"/>
        <v>8</v>
      </c>
      <c r="Y484" cm="1">
        <f t="array" ref="Y484">_xlfn.IFS(H484=0.1,1,H484=0.15,1,H484=0.05,1,H484=0,0)</f>
        <v>1</v>
      </c>
      <c r="Z484">
        <f t="shared" si="54"/>
        <v>20</v>
      </c>
      <c r="AA484">
        <f t="shared" si="55"/>
        <v>2024</v>
      </c>
    </row>
    <row r="485" spans="1:27" x14ac:dyDescent="0.3">
      <c r="A485" s="2">
        <v>45122</v>
      </c>
      <c r="B485" t="s">
        <v>71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1008</v>
      </c>
      <c r="O485" t="s">
        <v>1009</v>
      </c>
      <c r="P485">
        <v>42.1</v>
      </c>
      <c r="Q485" s="2">
        <v>45122</v>
      </c>
      <c r="R485" s="2">
        <v>45132</v>
      </c>
      <c r="S485" t="s">
        <v>74</v>
      </c>
      <c r="T485">
        <f t="shared" si="49"/>
        <v>3499.06</v>
      </c>
      <c r="U485">
        <f t="shared" si="50"/>
        <v>0</v>
      </c>
      <c r="V485">
        <f t="shared" si="51"/>
        <v>3456.96</v>
      </c>
      <c r="W485">
        <f t="shared" si="52"/>
        <v>0</v>
      </c>
      <c r="X485">
        <f t="shared" si="53"/>
        <v>10</v>
      </c>
      <c r="Y485" cm="1">
        <f t="array" ref="Y485">_xlfn.IFS(H485=0.1,1,H485=0.15,1,H485=0.05,1,H485=0,0)</f>
        <v>0</v>
      </c>
      <c r="Z485">
        <f t="shared" si="54"/>
        <v>0</v>
      </c>
      <c r="AA485">
        <f t="shared" si="55"/>
        <v>2023</v>
      </c>
    </row>
    <row r="486" spans="1:27" x14ac:dyDescent="0.3">
      <c r="A486" s="2">
        <v>45674</v>
      </c>
      <c r="B486" t="s">
        <v>39</v>
      </c>
      <c r="C486" t="s">
        <v>81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65</v>
      </c>
      <c r="L486" t="s">
        <v>35</v>
      </c>
      <c r="M486">
        <v>0</v>
      </c>
      <c r="N486" t="s">
        <v>1010</v>
      </c>
      <c r="O486" t="s">
        <v>1011</v>
      </c>
      <c r="P486">
        <v>17.62</v>
      </c>
      <c r="Q486" s="2">
        <v>45674</v>
      </c>
      <c r="R486" s="2">
        <v>45680</v>
      </c>
      <c r="S486" t="s">
        <v>44</v>
      </c>
      <c r="T486">
        <f t="shared" si="49"/>
        <v>53.611000000000004</v>
      </c>
      <c r="U486">
        <f t="shared" si="50"/>
        <v>10</v>
      </c>
      <c r="V486">
        <f t="shared" si="51"/>
        <v>39.99</v>
      </c>
      <c r="W486">
        <f t="shared" si="52"/>
        <v>3.9990000000000023</v>
      </c>
      <c r="X486">
        <f t="shared" si="53"/>
        <v>6</v>
      </c>
      <c r="Y486" cm="1">
        <f t="array" ref="Y486">_xlfn.IFS(H486=0.1,1,H486=0.15,1,H486=0.05,1,H486=0,0)</f>
        <v>1</v>
      </c>
      <c r="Z486">
        <f t="shared" si="54"/>
        <v>3</v>
      </c>
      <c r="AA486">
        <f t="shared" si="55"/>
        <v>2025</v>
      </c>
    </row>
    <row r="487" spans="1:27" x14ac:dyDescent="0.3">
      <c r="A487" s="2">
        <v>45709</v>
      </c>
      <c r="B487" t="s">
        <v>19</v>
      </c>
      <c r="C487" t="s">
        <v>132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68</v>
      </c>
      <c r="J487">
        <v>1377.09</v>
      </c>
      <c r="K487" t="s">
        <v>62</v>
      </c>
      <c r="L487" t="s">
        <v>25</v>
      </c>
      <c r="M487">
        <v>0</v>
      </c>
      <c r="N487" t="s">
        <v>1012</v>
      </c>
      <c r="O487" t="s">
        <v>1013</v>
      </c>
      <c r="P487">
        <v>38.96</v>
      </c>
      <c r="Q487" s="2">
        <v>45709</v>
      </c>
      <c r="R487" s="2">
        <v>45719</v>
      </c>
      <c r="S487" t="s">
        <v>28</v>
      </c>
      <c r="T487">
        <f t="shared" si="49"/>
        <v>1416.05</v>
      </c>
      <c r="U487">
        <f t="shared" si="50"/>
        <v>0</v>
      </c>
      <c r="V487">
        <f t="shared" si="51"/>
        <v>1377.0900000000001</v>
      </c>
      <c r="W487">
        <f t="shared" si="52"/>
        <v>0</v>
      </c>
      <c r="X487">
        <f t="shared" si="53"/>
        <v>10</v>
      </c>
      <c r="Y487" cm="1">
        <f t="array" ref="Y487">_xlfn.IFS(H487=0.1,1,H487=0.15,1,H487=0.05,1,H487=0,0)</f>
        <v>0</v>
      </c>
      <c r="Z487">
        <f t="shared" si="54"/>
        <v>0</v>
      </c>
      <c r="AA487">
        <f t="shared" si="55"/>
        <v>2025</v>
      </c>
    </row>
    <row r="488" spans="1:27" x14ac:dyDescent="0.3">
      <c r="A488" s="2">
        <v>45126</v>
      </c>
      <c r="B488" t="s">
        <v>71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62</v>
      </c>
      <c r="L488" t="s">
        <v>25</v>
      </c>
      <c r="M488">
        <v>1</v>
      </c>
      <c r="N488" t="s">
        <v>1014</v>
      </c>
      <c r="O488" t="s">
        <v>1015</v>
      </c>
      <c r="P488">
        <v>25.64</v>
      </c>
      <c r="Q488" s="2">
        <v>45126</v>
      </c>
      <c r="R488" s="2">
        <v>45133</v>
      </c>
      <c r="S488" t="s">
        <v>74</v>
      </c>
      <c r="T488">
        <f t="shared" si="49"/>
        <v>10557.64</v>
      </c>
      <c r="U488">
        <f t="shared" si="50"/>
        <v>0</v>
      </c>
      <c r="V488">
        <f t="shared" si="51"/>
        <v>10531</v>
      </c>
      <c r="W488">
        <f t="shared" si="52"/>
        <v>0</v>
      </c>
      <c r="X488">
        <f t="shared" si="53"/>
        <v>7</v>
      </c>
      <c r="Y488" cm="1">
        <f t="array" ref="Y488">_xlfn.IFS(H488=0.1,1,H488=0.15,1,H488=0.05,1,H488=0,0)</f>
        <v>0</v>
      </c>
      <c r="Z488">
        <f t="shared" si="54"/>
        <v>0</v>
      </c>
      <c r="AA488">
        <f t="shared" si="55"/>
        <v>2023</v>
      </c>
    </row>
    <row r="489" spans="1:27" x14ac:dyDescent="0.3">
      <c r="A489" s="2">
        <v>45564</v>
      </c>
      <c r="B489" t="s">
        <v>71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62</v>
      </c>
      <c r="L489" t="s">
        <v>41</v>
      </c>
      <c r="M489">
        <v>1</v>
      </c>
      <c r="N489" t="s">
        <v>1016</v>
      </c>
      <c r="O489" t="s">
        <v>1017</v>
      </c>
      <c r="P489">
        <v>11.56</v>
      </c>
      <c r="Q489" s="2">
        <v>45564</v>
      </c>
      <c r="R489" s="2">
        <v>45571</v>
      </c>
      <c r="S489" t="s">
        <v>74</v>
      </c>
      <c r="T489">
        <f t="shared" si="49"/>
        <v>3563.261</v>
      </c>
      <c r="U489">
        <f t="shared" si="50"/>
        <v>5</v>
      </c>
      <c r="V489">
        <f t="shared" si="51"/>
        <v>3737.58</v>
      </c>
      <c r="W489">
        <f t="shared" si="52"/>
        <v>186.87899999999991</v>
      </c>
      <c r="X489">
        <f t="shared" si="53"/>
        <v>7</v>
      </c>
      <c r="Y489" cm="1">
        <f t="array" ref="Y489">_xlfn.IFS(H489=0.1,1,H489=0.15,1,H489=0.05,1,H489=0,0)</f>
        <v>1</v>
      </c>
      <c r="Z489">
        <f t="shared" si="54"/>
        <v>11</v>
      </c>
      <c r="AA489">
        <f t="shared" si="55"/>
        <v>2024</v>
      </c>
    </row>
    <row r="490" spans="1:27" x14ac:dyDescent="0.3">
      <c r="A490" s="2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65</v>
      </c>
      <c r="L490" t="s">
        <v>41</v>
      </c>
      <c r="M490">
        <v>0</v>
      </c>
      <c r="N490" t="s">
        <v>1018</v>
      </c>
      <c r="O490" t="s">
        <v>1019</v>
      </c>
      <c r="P490">
        <v>37.270000000000003</v>
      </c>
      <c r="Q490" s="2">
        <v>45582</v>
      </c>
      <c r="R490" s="2">
        <v>45586</v>
      </c>
      <c r="S490" t="s">
        <v>28</v>
      </c>
      <c r="T490">
        <f t="shared" si="49"/>
        <v>817.14499999999998</v>
      </c>
      <c r="U490">
        <f t="shared" si="50"/>
        <v>15</v>
      </c>
      <c r="V490">
        <f t="shared" si="51"/>
        <v>917.5</v>
      </c>
      <c r="W490">
        <f t="shared" si="52"/>
        <v>137.625</v>
      </c>
      <c r="X490">
        <f t="shared" si="53"/>
        <v>4</v>
      </c>
      <c r="Y490" cm="1">
        <f t="array" ref="Y490">_xlfn.IFS(H490=0.1,1,H490=0.15,1,H490=0.05,1,H490=0,0)</f>
        <v>1</v>
      </c>
      <c r="Z490">
        <f t="shared" si="54"/>
        <v>10</v>
      </c>
      <c r="AA490">
        <f t="shared" si="55"/>
        <v>2024</v>
      </c>
    </row>
    <row r="491" spans="1:27" x14ac:dyDescent="0.3">
      <c r="A491" s="2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62</v>
      </c>
      <c r="L491" t="s">
        <v>25</v>
      </c>
      <c r="M491">
        <v>0</v>
      </c>
      <c r="N491" t="s">
        <v>1020</v>
      </c>
      <c r="O491" t="s">
        <v>1021</v>
      </c>
      <c r="P491">
        <v>38.04</v>
      </c>
      <c r="Q491" s="2">
        <v>45819</v>
      </c>
      <c r="R491" s="2">
        <v>45825</v>
      </c>
      <c r="S491" t="s">
        <v>28</v>
      </c>
      <c r="T491">
        <f t="shared" si="49"/>
        <v>222.45</v>
      </c>
      <c r="U491">
        <f t="shared" si="50"/>
        <v>10</v>
      </c>
      <c r="V491">
        <f t="shared" si="51"/>
        <v>204.9</v>
      </c>
      <c r="W491">
        <f t="shared" si="52"/>
        <v>20.490000000000009</v>
      </c>
      <c r="X491">
        <f t="shared" si="53"/>
        <v>6</v>
      </c>
      <c r="Y491" cm="1">
        <f t="array" ref="Y491">_xlfn.IFS(H491=0.1,1,H491=0.15,1,H491=0.05,1,H491=0,0)</f>
        <v>1</v>
      </c>
      <c r="Z491">
        <f t="shared" si="54"/>
        <v>15</v>
      </c>
      <c r="AA491">
        <f t="shared" si="55"/>
        <v>2025</v>
      </c>
    </row>
    <row r="492" spans="1:27" x14ac:dyDescent="0.3">
      <c r="A492" s="2">
        <v>45310</v>
      </c>
      <c r="B492" t="s">
        <v>71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800.44199999999989</v>
      </c>
      <c r="K492" t="s">
        <v>58</v>
      </c>
      <c r="L492" t="s">
        <v>25</v>
      </c>
      <c r="M492">
        <v>0</v>
      </c>
      <c r="N492" t="s">
        <v>1022</v>
      </c>
      <c r="O492" t="s">
        <v>1023</v>
      </c>
      <c r="P492">
        <v>19.579999999999998</v>
      </c>
      <c r="Q492" s="2">
        <v>45310</v>
      </c>
      <c r="R492" s="2">
        <v>45320</v>
      </c>
      <c r="S492" t="s">
        <v>74</v>
      </c>
      <c r="T492">
        <f t="shared" si="49"/>
        <v>820.02199999999993</v>
      </c>
      <c r="U492">
        <f t="shared" si="50"/>
        <v>10</v>
      </c>
      <c r="V492">
        <f t="shared" si="51"/>
        <v>889.37999999999988</v>
      </c>
      <c r="W492">
        <f t="shared" si="52"/>
        <v>88.937999999999988</v>
      </c>
      <c r="X492">
        <f t="shared" si="53"/>
        <v>10</v>
      </c>
      <c r="Y492" cm="1">
        <f t="array" ref="Y492">_xlfn.IFS(H492=0.1,1,H492=0.15,1,H492=0.05,1,H492=0,0)</f>
        <v>1</v>
      </c>
      <c r="Z492">
        <f t="shared" si="54"/>
        <v>6</v>
      </c>
      <c r="AA492">
        <f t="shared" si="55"/>
        <v>2024</v>
      </c>
    </row>
    <row r="493" spans="1:27" x14ac:dyDescent="0.3">
      <c r="A493" s="2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65</v>
      </c>
      <c r="L493" t="s">
        <v>41</v>
      </c>
      <c r="M493">
        <v>0</v>
      </c>
      <c r="N493" t="s">
        <v>1024</v>
      </c>
      <c r="O493" t="s">
        <v>1025</v>
      </c>
      <c r="P493">
        <v>27.37</v>
      </c>
      <c r="Q493" s="2">
        <v>45263</v>
      </c>
      <c r="R493" s="2">
        <v>45265</v>
      </c>
      <c r="S493" t="s">
        <v>28</v>
      </c>
      <c r="T493">
        <f t="shared" si="49"/>
        <v>4655.9004999999997</v>
      </c>
      <c r="U493">
        <f t="shared" si="50"/>
        <v>15</v>
      </c>
      <c r="V493">
        <f t="shared" si="51"/>
        <v>5445.33</v>
      </c>
      <c r="W493">
        <f t="shared" si="52"/>
        <v>816.79950000000008</v>
      </c>
      <c r="X493">
        <f t="shared" si="53"/>
        <v>2</v>
      </c>
      <c r="Y493" cm="1">
        <f t="array" ref="Y493">_xlfn.IFS(H493=0.1,1,H493=0.15,1,H493=0.05,1,H493=0,0)</f>
        <v>1</v>
      </c>
      <c r="Z493">
        <f t="shared" si="54"/>
        <v>11</v>
      </c>
      <c r="AA493">
        <f t="shared" si="55"/>
        <v>2023</v>
      </c>
    </row>
    <row r="494" spans="1:27" x14ac:dyDescent="0.3">
      <c r="A494" s="2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1026</v>
      </c>
      <c r="O494" t="s">
        <v>963</v>
      </c>
      <c r="P494">
        <v>18.75</v>
      </c>
      <c r="Q494" s="2">
        <v>45462</v>
      </c>
      <c r="R494" s="2">
        <v>45470</v>
      </c>
      <c r="S494" t="s">
        <v>50</v>
      </c>
      <c r="T494">
        <f t="shared" si="49"/>
        <v>1427.79</v>
      </c>
      <c r="U494">
        <f t="shared" si="50"/>
        <v>5</v>
      </c>
      <c r="V494">
        <f t="shared" si="51"/>
        <v>1483.1999999999998</v>
      </c>
      <c r="W494">
        <f t="shared" si="52"/>
        <v>74.159999999999854</v>
      </c>
      <c r="X494">
        <f t="shared" si="53"/>
        <v>8</v>
      </c>
      <c r="Y494" cm="1">
        <f t="array" ref="Y494">_xlfn.IFS(H494=0.1,1,H494=0.15,1,H494=0.05,1,H494=0,0)</f>
        <v>1</v>
      </c>
      <c r="Z494">
        <f t="shared" si="54"/>
        <v>6</v>
      </c>
      <c r="AA494">
        <f t="shared" si="55"/>
        <v>2024</v>
      </c>
    </row>
    <row r="495" spans="1:27" x14ac:dyDescent="0.3">
      <c r="A495" s="2">
        <v>45581</v>
      </c>
      <c r="B495" t="s">
        <v>71</v>
      </c>
      <c r="C495" t="s">
        <v>81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68</v>
      </c>
      <c r="J495">
        <v>3744.4724999999989</v>
      </c>
      <c r="K495" t="s">
        <v>62</v>
      </c>
      <c r="L495" t="s">
        <v>35</v>
      </c>
      <c r="M495">
        <v>0</v>
      </c>
      <c r="N495" t="s">
        <v>1027</v>
      </c>
      <c r="O495" t="s">
        <v>1028</v>
      </c>
      <c r="P495">
        <v>11.5</v>
      </c>
      <c r="Q495" s="2">
        <v>45581</v>
      </c>
      <c r="R495" s="2">
        <v>45586</v>
      </c>
      <c r="S495" t="s">
        <v>74</v>
      </c>
      <c r="T495">
        <f t="shared" si="49"/>
        <v>3755.9724999999989</v>
      </c>
      <c r="U495">
        <f t="shared" si="50"/>
        <v>5</v>
      </c>
      <c r="V495">
        <f t="shared" si="51"/>
        <v>3941.5499999999997</v>
      </c>
      <c r="W495">
        <f t="shared" si="52"/>
        <v>197.07750000000078</v>
      </c>
      <c r="X495">
        <f t="shared" si="53"/>
        <v>5</v>
      </c>
      <c r="Y495" cm="1">
        <f t="array" ref="Y495">_xlfn.IFS(H495=0.1,1,H495=0.15,1,H495=0.05,1,H495=0,0)</f>
        <v>1</v>
      </c>
      <c r="Z495">
        <f t="shared" si="54"/>
        <v>19</v>
      </c>
      <c r="AA495">
        <f t="shared" si="55"/>
        <v>2024</v>
      </c>
    </row>
    <row r="496" spans="1:27" x14ac:dyDescent="0.3">
      <c r="A496" s="2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630.32599999999991</v>
      </c>
      <c r="K496" t="s">
        <v>24</v>
      </c>
      <c r="L496" t="s">
        <v>25</v>
      </c>
      <c r="M496">
        <v>0</v>
      </c>
      <c r="N496" t="s">
        <v>1029</v>
      </c>
      <c r="O496" t="s">
        <v>1030</v>
      </c>
      <c r="P496">
        <v>20.45</v>
      </c>
      <c r="Q496" s="2">
        <v>45680</v>
      </c>
      <c r="R496" s="2">
        <v>45684</v>
      </c>
      <c r="S496" t="s">
        <v>28</v>
      </c>
      <c r="T496">
        <f t="shared" si="49"/>
        <v>650.77599999999995</v>
      </c>
      <c r="U496">
        <f t="shared" si="50"/>
        <v>15</v>
      </c>
      <c r="V496">
        <f t="shared" si="51"/>
        <v>741.56</v>
      </c>
      <c r="W496">
        <f t="shared" si="52"/>
        <v>111.23400000000004</v>
      </c>
      <c r="X496">
        <f t="shared" si="53"/>
        <v>4</v>
      </c>
      <c r="Y496" cm="1">
        <f t="array" ref="Y496">_xlfn.IFS(H496=0.1,1,H496=0.15,1,H496=0.05,1,H496=0,0)</f>
        <v>1</v>
      </c>
      <c r="Z496">
        <f t="shared" si="54"/>
        <v>2</v>
      </c>
      <c r="AA496">
        <f t="shared" si="55"/>
        <v>2025</v>
      </c>
    </row>
    <row r="497" spans="1:27" x14ac:dyDescent="0.3">
      <c r="A497" s="2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L497" t="s">
        <v>59</v>
      </c>
      <c r="M497">
        <v>0</v>
      </c>
      <c r="N497" t="s">
        <v>1031</v>
      </c>
      <c r="O497" t="s">
        <v>1032</v>
      </c>
      <c r="P497">
        <v>10.45</v>
      </c>
      <c r="Q497" s="2">
        <v>45201</v>
      </c>
      <c r="R497" s="2">
        <v>45209</v>
      </c>
      <c r="S497" t="s">
        <v>50</v>
      </c>
      <c r="T497">
        <f t="shared" si="49"/>
        <v>1198.8820000000001</v>
      </c>
      <c r="U497">
        <f t="shared" si="50"/>
        <v>10</v>
      </c>
      <c r="V497">
        <f t="shared" si="51"/>
        <v>1320.48</v>
      </c>
      <c r="W497">
        <f t="shared" si="52"/>
        <v>132.048</v>
      </c>
      <c r="X497">
        <f t="shared" si="53"/>
        <v>8</v>
      </c>
      <c r="Y497" cm="1">
        <f t="array" ref="Y497">_xlfn.IFS(H497=0.1,1,H497=0.15,1,H497=0.05,1,H497=0,0)</f>
        <v>1</v>
      </c>
      <c r="Z497">
        <f t="shared" si="54"/>
        <v>9</v>
      </c>
      <c r="AA497">
        <f t="shared" si="55"/>
        <v>2023</v>
      </c>
    </row>
    <row r="498" spans="1:27" x14ac:dyDescent="0.3">
      <c r="A498" s="2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65</v>
      </c>
      <c r="L498" t="s">
        <v>41</v>
      </c>
      <c r="M498">
        <v>0</v>
      </c>
      <c r="N498" t="s">
        <v>1033</v>
      </c>
      <c r="O498" t="s">
        <v>1034</v>
      </c>
      <c r="P498">
        <v>32.61</v>
      </c>
      <c r="Q498" s="2">
        <v>45235</v>
      </c>
      <c r="R498" s="2">
        <v>45237</v>
      </c>
      <c r="S498" t="s">
        <v>28</v>
      </c>
      <c r="T498">
        <f t="shared" si="49"/>
        <v>1758.99</v>
      </c>
      <c r="U498">
        <f t="shared" si="50"/>
        <v>10</v>
      </c>
      <c r="V498">
        <f t="shared" si="51"/>
        <v>1918.1999999999998</v>
      </c>
      <c r="W498">
        <f t="shared" si="52"/>
        <v>191.81999999999971</v>
      </c>
      <c r="X498">
        <f t="shared" si="53"/>
        <v>2</v>
      </c>
      <c r="Y498" cm="1">
        <f t="array" ref="Y498">_xlfn.IFS(H498=0.1,1,H498=0.15,1,H498=0.05,1,H498=0,0)</f>
        <v>1</v>
      </c>
      <c r="Z498">
        <f t="shared" si="54"/>
        <v>12</v>
      </c>
      <c r="AA498">
        <f t="shared" si="55"/>
        <v>2023</v>
      </c>
    </row>
    <row r="499" spans="1:27" x14ac:dyDescent="0.3">
      <c r="A499" s="2">
        <v>45095</v>
      </c>
      <c r="B499" t="s">
        <v>29</v>
      </c>
      <c r="C499" t="s">
        <v>132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1035</v>
      </c>
      <c r="O499" t="s">
        <v>1036</v>
      </c>
      <c r="P499">
        <v>14.69</v>
      </c>
      <c r="Q499" s="2">
        <v>45095</v>
      </c>
      <c r="R499" s="2">
        <v>45100</v>
      </c>
      <c r="S499" t="s">
        <v>38</v>
      </c>
      <c r="T499">
        <f t="shared" si="49"/>
        <v>2258.4380000000001</v>
      </c>
      <c r="U499">
        <f t="shared" si="50"/>
        <v>5</v>
      </c>
      <c r="V499">
        <f t="shared" si="51"/>
        <v>2361.84</v>
      </c>
      <c r="W499">
        <f t="shared" si="52"/>
        <v>118.0920000000001</v>
      </c>
      <c r="X499">
        <f t="shared" si="53"/>
        <v>5</v>
      </c>
      <c r="Y499" cm="1">
        <f t="array" ref="Y499">_xlfn.IFS(H499=0.1,1,H499=0.15,1,H499=0.05,1,H499=0,0)</f>
        <v>1</v>
      </c>
      <c r="Z499">
        <f t="shared" si="54"/>
        <v>13</v>
      </c>
      <c r="AA499">
        <f t="shared" si="55"/>
        <v>2023</v>
      </c>
    </row>
    <row r="500" spans="1:27" x14ac:dyDescent="0.3">
      <c r="A500" s="2">
        <v>45488</v>
      </c>
      <c r="B500" t="s">
        <v>45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68</v>
      </c>
      <c r="J500">
        <v>464.57600000000002</v>
      </c>
      <c r="K500" t="s">
        <v>65</v>
      </c>
      <c r="L500" t="s">
        <v>35</v>
      </c>
      <c r="M500">
        <v>0</v>
      </c>
      <c r="N500" t="s">
        <v>1037</v>
      </c>
      <c r="O500" t="s">
        <v>1038</v>
      </c>
      <c r="P500">
        <v>36.33</v>
      </c>
      <c r="Q500" s="2">
        <v>45488</v>
      </c>
      <c r="R500" s="2">
        <v>45494</v>
      </c>
      <c r="S500" t="s">
        <v>50</v>
      </c>
      <c r="T500">
        <f t="shared" si="49"/>
        <v>500.90600000000001</v>
      </c>
      <c r="U500">
        <f t="shared" si="50"/>
        <v>15</v>
      </c>
      <c r="V500">
        <f t="shared" si="51"/>
        <v>546.55999999999995</v>
      </c>
      <c r="W500">
        <f t="shared" si="52"/>
        <v>81.983999999999924</v>
      </c>
      <c r="X500">
        <f t="shared" si="53"/>
        <v>6</v>
      </c>
      <c r="Y500" cm="1">
        <f t="array" ref="Y500">_xlfn.IFS(H500=0.1,1,H500=0.15,1,H500=0.05,1,H500=0,0)</f>
        <v>1</v>
      </c>
      <c r="Z500">
        <f t="shared" si="54"/>
        <v>16</v>
      </c>
      <c r="AA500">
        <f t="shared" si="55"/>
        <v>2024</v>
      </c>
    </row>
    <row r="501" spans="1:27" x14ac:dyDescent="0.3">
      <c r="A501" s="2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65</v>
      </c>
      <c r="L501" t="s">
        <v>41</v>
      </c>
      <c r="M501">
        <v>0</v>
      </c>
      <c r="N501" t="s">
        <v>1039</v>
      </c>
      <c r="O501" t="s">
        <v>506</v>
      </c>
      <c r="P501">
        <v>25.34</v>
      </c>
      <c r="Q501" s="2">
        <v>45457</v>
      </c>
      <c r="R501" s="2">
        <v>45466</v>
      </c>
      <c r="S501" t="s">
        <v>50</v>
      </c>
      <c r="T501">
        <f t="shared" si="49"/>
        <v>542.71400000000006</v>
      </c>
      <c r="U501">
        <f t="shared" si="50"/>
        <v>10</v>
      </c>
      <c r="V501">
        <f t="shared" si="51"/>
        <v>574.86</v>
      </c>
      <c r="W501">
        <f t="shared" si="52"/>
        <v>57.48599999999999</v>
      </c>
      <c r="X501">
        <f t="shared" si="53"/>
        <v>9</v>
      </c>
      <c r="Y501" cm="1">
        <f t="array" ref="Y501">_xlfn.IFS(H501=0.1,1,H501=0.15,1,H501=0.05,1,H501=0,0)</f>
        <v>1</v>
      </c>
      <c r="Z501">
        <f t="shared" si="54"/>
        <v>2</v>
      </c>
      <c r="AA501">
        <f t="shared" si="55"/>
        <v>2024</v>
      </c>
    </row>
    <row r="502" spans="1:27" x14ac:dyDescent="0.3">
      <c r="A502" s="2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L502" t="s">
        <v>59</v>
      </c>
      <c r="M502">
        <v>0</v>
      </c>
      <c r="N502" t="s">
        <v>1040</v>
      </c>
      <c r="O502" t="s">
        <v>1041</v>
      </c>
      <c r="P502">
        <v>32.04</v>
      </c>
      <c r="Q502" s="2">
        <v>45387</v>
      </c>
      <c r="R502" s="2">
        <v>45392</v>
      </c>
      <c r="S502" t="s">
        <v>28</v>
      </c>
      <c r="T502">
        <f t="shared" si="49"/>
        <v>5207.9025000000001</v>
      </c>
      <c r="U502">
        <f t="shared" si="50"/>
        <v>15</v>
      </c>
      <c r="V502">
        <f t="shared" si="51"/>
        <v>6089.25</v>
      </c>
      <c r="W502">
        <f t="shared" si="52"/>
        <v>913.38749999999982</v>
      </c>
      <c r="X502">
        <f t="shared" si="53"/>
        <v>5</v>
      </c>
      <c r="Y502" cm="1">
        <f t="array" ref="Y502">_xlfn.IFS(H502=0.1,1,H502=0.15,1,H502=0.05,1,H502=0,0)</f>
        <v>1</v>
      </c>
      <c r="Z502">
        <f t="shared" si="54"/>
        <v>15</v>
      </c>
      <c r="AA502">
        <f t="shared" si="55"/>
        <v>2024</v>
      </c>
    </row>
    <row r="503" spans="1:27" x14ac:dyDescent="0.3">
      <c r="A503" s="2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1042</v>
      </c>
      <c r="O503" t="s">
        <v>1043</v>
      </c>
      <c r="P503">
        <v>14.53</v>
      </c>
      <c r="Q503" s="2">
        <v>44984</v>
      </c>
      <c r="R503" s="2">
        <v>44992</v>
      </c>
      <c r="S503" t="s">
        <v>44</v>
      </c>
      <c r="T503">
        <f t="shared" si="49"/>
        <v>445.14</v>
      </c>
      <c r="U503">
        <f t="shared" si="50"/>
        <v>0</v>
      </c>
      <c r="V503">
        <f t="shared" si="51"/>
        <v>430.61</v>
      </c>
      <c r="W503">
        <f t="shared" si="52"/>
        <v>0</v>
      </c>
      <c r="X503">
        <f t="shared" si="53"/>
        <v>8</v>
      </c>
      <c r="Y503" cm="1">
        <f t="array" ref="Y503">_xlfn.IFS(H503=0.1,1,H503=0.15,1,H503=0.05,1,H503=0,0)</f>
        <v>0</v>
      </c>
      <c r="Z503">
        <f t="shared" si="54"/>
        <v>0</v>
      </c>
      <c r="AA503">
        <f t="shared" si="55"/>
        <v>2023</v>
      </c>
    </row>
    <row r="504" spans="1:27" x14ac:dyDescent="0.3">
      <c r="A504" s="2">
        <v>45138</v>
      </c>
      <c r="B504" t="s">
        <v>71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1044</v>
      </c>
      <c r="O504" t="s">
        <v>1045</v>
      </c>
      <c r="P504">
        <v>35.630000000000003</v>
      </c>
      <c r="Q504" s="2">
        <v>45138</v>
      </c>
      <c r="R504" s="2">
        <v>45147</v>
      </c>
      <c r="S504" t="s">
        <v>74</v>
      </c>
      <c r="T504">
        <f t="shared" si="49"/>
        <v>2576.88</v>
      </c>
      <c r="U504">
        <f t="shared" si="50"/>
        <v>0</v>
      </c>
      <c r="V504">
        <f t="shared" si="51"/>
        <v>2540.25</v>
      </c>
      <c r="W504">
        <f t="shared" si="52"/>
        <v>0</v>
      </c>
      <c r="X504">
        <f t="shared" si="53"/>
        <v>9</v>
      </c>
      <c r="Y504" cm="1">
        <f t="array" ref="Y504">_xlfn.IFS(H504=0.1,1,H504=0.15,1,H504=0.05,1,H504=0,0)</f>
        <v>0</v>
      </c>
      <c r="Z504">
        <f t="shared" si="54"/>
        <v>0</v>
      </c>
      <c r="AA504">
        <f t="shared" si="55"/>
        <v>2023</v>
      </c>
    </row>
    <row r="505" spans="1:27" x14ac:dyDescent="0.3">
      <c r="A505" s="2">
        <v>44988</v>
      </c>
      <c r="B505" t="s">
        <v>71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62</v>
      </c>
      <c r="L505" t="s">
        <v>25</v>
      </c>
      <c r="M505">
        <v>0</v>
      </c>
      <c r="N505" t="s">
        <v>1046</v>
      </c>
      <c r="O505" t="s">
        <v>1047</v>
      </c>
      <c r="P505">
        <v>33.9</v>
      </c>
      <c r="Q505" s="2">
        <v>44988</v>
      </c>
      <c r="R505" s="2">
        <v>44995</v>
      </c>
      <c r="S505" t="s">
        <v>74</v>
      </c>
      <c r="T505">
        <f t="shared" si="49"/>
        <v>5812.7184999999999</v>
      </c>
      <c r="U505">
        <f t="shared" si="50"/>
        <v>15</v>
      </c>
      <c r="V505">
        <f t="shared" si="51"/>
        <v>6798.6100000000006</v>
      </c>
      <c r="W505">
        <f t="shared" si="52"/>
        <v>1019.7915000000003</v>
      </c>
      <c r="X505">
        <f t="shared" si="53"/>
        <v>7</v>
      </c>
      <c r="Y505" cm="1">
        <f t="array" ref="Y505">_xlfn.IFS(H505=0.1,1,H505=0.15,1,H505=0.05,1,H505=0,0)</f>
        <v>1</v>
      </c>
      <c r="Z505">
        <f t="shared" si="54"/>
        <v>13</v>
      </c>
      <c r="AA505">
        <f t="shared" si="55"/>
        <v>2023</v>
      </c>
    </row>
    <row r="506" spans="1:27" x14ac:dyDescent="0.3">
      <c r="A506" s="2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1048</v>
      </c>
      <c r="O506" t="s">
        <v>1049</v>
      </c>
      <c r="P506">
        <v>23.26</v>
      </c>
      <c r="Q506" s="2">
        <v>45042</v>
      </c>
      <c r="R506" s="2">
        <v>45044</v>
      </c>
      <c r="S506" t="s">
        <v>38</v>
      </c>
      <c r="T506">
        <f t="shared" si="49"/>
        <v>4005.085</v>
      </c>
      <c r="U506">
        <f t="shared" si="50"/>
        <v>10</v>
      </c>
      <c r="V506">
        <f t="shared" si="51"/>
        <v>4424.25</v>
      </c>
      <c r="W506">
        <f t="shared" si="52"/>
        <v>442.42500000000018</v>
      </c>
      <c r="X506">
        <f t="shared" si="53"/>
        <v>2</v>
      </c>
      <c r="Y506" cm="1">
        <f t="array" ref="Y506">_xlfn.IFS(H506=0.1,1,H506=0.15,1,H506=0.05,1,H506=0,0)</f>
        <v>1</v>
      </c>
      <c r="Z506">
        <f t="shared" si="54"/>
        <v>17</v>
      </c>
      <c r="AA506">
        <f t="shared" si="55"/>
        <v>2023</v>
      </c>
    </row>
    <row r="507" spans="1:27" x14ac:dyDescent="0.3">
      <c r="A507" s="2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1050</v>
      </c>
      <c r="O507" t="s">
        <v>1051</v>
      </c>
      <c r="P507">
        <v>12.29</v>
      </c>
      <c r="Q507" s="2">
        <v>45584</v>
      </c>
      <c r="R507" s="2">
        <v>45592</v>
      </c>
      <c r="S507" t="s">
        <v>28</v>
      </c>
      <c r="T507">
        <f t="shared" si="49"/>
        <v>2979.0239999999999</v>
      </c>
      <c r="U507">
        <f t="shared" si="50"/>
        <v>10</v>
      </c>
      <c r="V507">
        <f t="shared" si="51"/>
        <v>3295.26</v>
      </c>
      <c r="W507">
        <f t="shared" si="52"/>
        <v>329.52600000000029</v>
      </c>
      <c r="X507">
        <f t="shared" si="53"/>
        <v>8</v>
      </c>
      <c r="Y507" cm="1">
        <f t="array" ref="Y507">_xlfn.IFS(H507=0.1,1,H507=0.15,1,H507=0.05,1,H507=0,0)</f>
        <v>1</v>
      </c>
      <c r="Z507">
        <f t="shared" si="54"/>
        <v>6</v>
      </c>
      <c r="AA507">
        <f t="shared" si="55"/>
        <v>2024</v>
      </c>
    </row>
    <row r="508" spans="1:27" x14ac:dyDescent="0.3">
      <c r="A508" s="2">
        <v>45473</v>
      </c>
      <c r="B508" t="s">
        <v>45</v>
      </c>
      <c r="C508" t="s">
        <v>132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62</v>
      </c>
      <c r="L508" t="s">
        <v>41</v>
      </c>
      <c r="M508">
        <v>0</v>
      </c>
      <c r="N508" t="s">
        <v>1052</v>
      </c>
      <c r="O508" t="s">
        <v>1053</v>
      </c>
      <c r="P508">
        <v>22.63</v>
      </c>
      <c r="Q508" s="2">
        <v>45473</v>
      </c>
      <c r="R508" s="2">
        <v>45477</v>
      </c>
      <c r="S508" t="s">
        <v>50</v>
      </c>
      <c r="T508">
        <f t="shared" si="49"/>
        <v>6847.7984999999999</v>
      </c>
      <c r="U508">
        <f t="shared" si="50"/>
        <v>15</v>
      </c>
      <c r="V508">
        <f t="shared" si="51"/>
        <v>8029.61</v>
      </c>
      <c r="W508">
        <f t="shared" si="52"/>
        <v>1204.4414999999999</v>
      </c>
      <c r="X508">
        <f t="shared" si="53"/>
        <v>4</v>
      </c>
      <c r="Y508" cm="1">
        <f t="array" ref="Y508">_xlfn.IFS(H508=0.1,1,H508=0.15,1,H508=0.05,1,H508=0,0)</f>
        <v>1</v>
      </c>
      <c r="Z508">
        <f t="shared" si="54"/>
        <v>17</v>
      </c>
      <c r="AA508">
        <f t="shared" si="55"/>
        <v>2024</v>
      </c>
    </row>
    <row r="509" spans="1:27" x14ac:dyDescent="0.3">
      <c r="A509" s="2">
        <v>45576</v>
      </c>
      <c r="B509" t="s">
        <v>71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65</v>
      </c>
      <c r="L509" t="s">
        <v>41</v>
      </c>
      <c r="M509">
        <v>0</v>
      </c>
      <c r="N509" t="s">
        <v>1054</v>
      </c>
      <c r="O509" t="s">
        <v>210</v>
      </c>
      <c r="P509">
        <v>6.43</v>
      </c>
      <c r="Q509" s="2">
        <v>45576</v>
      </c>
      <c r="R509" s="2">
        <v>45584</v>
      </c>
      <c r="S509" t="s">
        <v>74</v>
      </c>
      <c r="T509">
        <f t="shared" si="49"/>
        <v>5377.9000000000005</v>
      </c>
      <c r="U509">
        <f t="shared" si="50"/>
        <v>0</v>
      </c>
      <c r="V509">
        <f t="shared" si="51"/>
        <v>5371.47</v>
      </c>
      <c r="W509">
        <f t="shared" si="52"/>
        <v>0</v>
      </c>
      <c r="X509">
        <f t="shared" si="53"/>
        <v>8</v>
      </c>
      <c r="Y509" cm="1">
        <f t="array" ref="Y509">_xlfn.IFS(H509=0.1,1,H509=0.15,1,H509=0.05,1,H509=0,0)</f>
        <v>0</v>
      </c>
      <c r="Z509">
        <f t="shared" si="54"/>
        <v>0</v>
      </c>
      <c r="AA509">
        <f t="shared" si="55"/>
        <v>2024</v>
      </c>
    </row>
    <row r="510" spans="1:27" x14ac:dyDescent="0.3">
      <c r="A510" s="2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65</v>
      </c>
      <c r="L510" t="s">
        <v>25</v>
      </c>
      <c r="M510">
        <v>1</v>
      </c>
      <c r="N510" t="s">
        <v>1055</v>
      </c>
      <c r="O510" t="s">
        <v>1056</v>
      </c>
      <c r="P510">
        <v>24.53</v>
      </c>
      <c r="Q510" s="2">
        <v>45822</v>
      </c>
      <c r="R510" s="2">
        <v>45831</v>
      </c>
      <c r="S510" t="s">
        <v>50</v>
      </c>
      <c r="T510">
        <f t="shared" si="49"/>
        <v>2105.0700000000002</v>
      </c>
      <c r="U510">
        <f t="shared" si="50"/>
        <v>10</v>
      </c>
      <c r="V510">
        <f t="shared" si="51"/>
        <v>2310.6</v>
      </c>
      <c r="W510">
        <f t="shared" si="52"/>
        <v>231.05999999999995</v>
      </c>
      <c r="X510">
        <f t="shared" si="53"/>
        <v>9</v>
      </c>
      <c r="Y510" cm="1">
        <f t="array" ref="Y510">_xlfn.IFS(H510=0.1,1,H510=0.15,1,H510=0.05,1,H510=0,0)</f>
        <v>1</v>
      </c>
      <c r="Z510">
        <f t="shared" si="54"/>
        <v>15</v>
      </c>
      <c r="AA510">
        <f t="shared" si="55"/>
        <v>2025</v>
      </c>
    </row>
    <row r="511" spans="1:27" x14ac:dyDescent="0.3">
      <c r="A511" s="2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68</v>
      </c>
      <c r="J511">
        <v>8107.1280000000006</v>
      </c>
      <c r="K511" t="s">
        <v>58</v>
      </c>
      <c r="L511" t="s">
        <v>59</v>
      </c>
      <c r="M511">
        <v>0</v>
      </c>
      <c r="N511" t="s">
        <v>1057</v>
      </c>
      <c r="O511" t="s">
        <v>1058</v>
      </c>
      <c r="P511">
        <v>8.8699999999999992</v>
      </c>
      <c r="Q511" s="2">
        <v>45648</v>
      </c>
      <c r="R511" s="2">
        <v>45656</v>
      </c>
      <c r="S511" t="s">
        <v>28</v>
      </c>
      <c r="T511">
        <f t="shared" si="49"/>
        <v>8115.9980000000005</v>
      </c>
      <c r="U511">
        <f t="shared" si="50"/>
        <v>10</v>
      </c>
      <c r="V511">
        <f t="shared" si="51"/>
        <v>9007.92</v>
      </c>
      <c r="W511">
        <f t="shared" si="52"/>
        <v>900.79199999999946</v>
      </c>
      <c r="X511">
        <f t="shared" si="53"/>
        <v>8</v>
      </c>
      <c r="Y511" cm="1">
        <f t="array" ref="Y511">_xlfn.IFS(H511=0.1,1,H511=0.15,1,H511=0.05,1,H511=0,0)</f>
        <v>1</v>
      </c>
      <c r="Z511">
        <f t="shared" si="54"/>
        <v>18</v>
      </c>
      <c r="AA511">
        <f t="shared" si="55"/>
        <v>2024</v>
      </c>
    </row>
    <row r="512" spans="1:27" x14ac:dyDescent="0.3">
      <c r="A512" s="2">
        <v>45404</v>
      </c>
      <c r="B512" t="s">
        <v>71</v>
      </c>
      <c r="C512" t="s">
        <v>81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1059</v>
      </c>
      <c r="O512" t="s">
        <v>1060</v>
      </c>
      <c r="P512">
        <v>17.72</v>
      </c>
      <c r="Q512" s="2">
        <v>45404</v>
      </c>
      <c r="R512" s="2">
        <v>45407</v>
      </c>
      <c r="S512" t="s">
        <v>74</v>
      </c>
      <c r="T512">
        <f t="shared" si="49"/>
        <v>1928.57</v>
      </c>
      <c r="U512">
        <f t="shared" si="50"/>
        <v>0</v>
      </c>
      <c r="V512">
        <f t="shared" si="51"/>
        <v>1910.8500000000001</v>
      </c>
      <c r="W512">
        <f t="shared" si="52"/>
        <v>0</v>
      </c>
      <c r="X512">
        <f t="shared" si="53"/>
        <v>3</v>
      </c>
      <c r="Y512" cm="1">
        <f t="array" ref="Y512">_xlfn.IFS(H512=0.1,1,H512=0.15,1,H512=0.05,1,H512=0,0)</f>
        <v>0</v>
      </c>
      <c r="Z512">
        <f t="shared" si="54"/>
        <v>0</v>
      </c>
      <c r="AA512">
        <f t="shared" si="55"/>
        <v>2024</v>
      </c>
    </row>
    <row r="513" spans="1:27" x14ac:dyDescent="0.3">
      <c r="A513" s="2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932.12700000000007</v>
      </c>
      <c r="K513" t="s">
        <v>24</v>
      </c>
      <c r="L513" t="s">
        <v>59</v>
      </c>
      <c r="M513">
        <v>0</v>
      </c>
      <c r="N513" t="s">
        <v>1061</v>
      </c>
      <c r="O513" t="s">
        <v>1062</v>
      </c>
      <c r="P513">
        <v>45.89</v>
      </c>
      <c r="Q513" s="2">
        <v>45682</v>
      </c>
      <c r="R513" s="2">
        <v>45686</v>
      </c>
      <c r="S513" t="s">
        <v>44</v>
      </c>
      <c r="T513">
        <f t="shared" si="49"/>
        <v>978.01700000000005</v>
      </c>
      <c r="U513">
        <f t="shared" si="50"/>
        <v>15</v>
      </c>
      <c r="V513">
        <f t="shared" si="51"/>
        <v>1096.6200000000001</v>
      </c>
      <c r="W513">
        <f t="shared" si="52"/>
        <v>164.49300000000005</v>
      </c>
      <c r="X513">
        <f t="shared" si="53"/>
        <v>4</v>
      </c>
      <c r="Y513" cm="1">
        <f t="array" ref="Y513">_xlfn.IFS(H513=0.1,1,H513=0.15,1,H513=0.05,1,H513=0,0)</f>
        <v>1</v>
      </c>
      <c r="Z513">
        <f t="shared" si="54"/>
        <v>3</v>
      </c>
      <c r="AA513">
        <f t="shared" si="55"/>
        <v>2025</v>
      </c>
    </row>
    <row r="514" spans="1:27" x14ac:dyDescent="0.3">
      <c r="A514" s="2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L514" t="s">
        <v>59</v>
      </c>
      <c r="M514">
        <v>0</v>
      </c>
      <c r="N514" t="s">
        <v>1063</v>
      </c>
      <c r="O514" t="s">
        <v>1064</v>
      </c>
      <c r="P514">
        <v>15.74</v>
      </c>
      <c r="Q514" s="2">
        <v>45609</v>
      </c>
      <c r="R514" s="2">
        <v>45615</v>
      </c>
      <c r="S514" t="s">
        <v>44</v>
      </c>
      <c r="T514">
        <f t="shared" si="49"/>
        <v>1163.7925</v>
      </c>
      <c r="U514">
        <f t="shared" si="50"/>
        <v>15</v>
      </c>
      <c r="V514">
        <f t="shared" si="51"/>
        <v>1350.65</v>
      </c>
      <c r="W514">
        <f t="shared" si="52"/>
        <v>202.59750000000008</v>
      </c>
      <c r="X514">
        <f t="shared" si="53"/>
        <v>6</v>
      </c>
      <c r="Y514" cm="1">
        <f t="array" ref="Y514">_xlfn.IFS(H514=0.1,1,H514=0.15,1,H514=0.05,1,H514=0,0)</f>
        <v>1</v>
      </c>
      <c r="Z514">
        <f t="shared" si="54"/>
        <v>5</v>
      </c>
      <c r="AA514">
        <f t="shared" si="55"/>
        <v>2024</v>
      </c>
    </row>
    <row r="515" spans="1:27" x14ac:dyDescent="0.3">
      <c r="A515" s="2">
        <v>45001</v>
      </c>
      <c r="B515" t="s">
        <v>19</v>
      </c>
      <c r="C515" t="s">
        <v>81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L515" t="s">
        <v>59</v>
      </c>
      <c r="M515">
        <v>0</v>
      </c>
      <c r="N515" t="s">
        <v>1065</v>
      </c>
      <c r="O515" t="s">
        <v>1066</v>
      </c>
      <c r="P515">
        <v>42.07</v>
      </c>
      <c r="Q515" s="2">
        <v>45001</v>
      </c>
      <c r="R515" s="2">
        <v>45006</v>
      </c>
      <c r="S515" t="s">
        <v>28</v>
      </c>
      <c r="T515">
        <f t="shared" ref="T515:T578" si="56">SUM(J515:P515)</f>
        <v>858.32500000000005</v>
      </c>
      <c r="U515">
        <f t="shared" ref="U515:U578" si="57">PRODUCT(100,H515)</f>
        <v>15</v>
      </c>
      <c r="V515">
        <f t="shared" ref="V515:V578" si="58">PRODUCT(D515:E515)</f>
        <v>960.3</v>
      </c>
      <c r="W515">
        <f t="shared" ref="W515:W578" si="59" xml:space="preserve"> V515-J515</f>
        <v>144.04499999999996</v>
      </c>
      <c r="X515">
        <f t="shared" ref="X515:X578" si="60">R515-Q515</f>
        <v>5</v>
      </c>
      <c r="Y515" cm="1">
        <f t="array" ref="Y515">_xlfn.IFS(H515=0.1,1,H515=0.15,1,H515=0.05,1,H515=0,0)</f>
        <v>1</v>
      </c>
      <c r="Z515">
        <f t="shared" ref="Z515:Z578" si="61">PRODUCT(Y515,D515)</f>
        <v>2</v>
      </c>
      <c r="AA515">
        <f t="shared" ref="AA515:AA578" si="62">YEAR(A515)</f>
        <v>2023</v>
      </c>
    </row>
    <row r="516" spans="1:27" x14ac:dyDescent="0.3">
      <c r="A516" s="2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6719.2739999999994</v>
      </c>
      <c r="K516" t="s">
        <v>58</v>
      </c>
      <c r="L516" t="s">
        <v>59</v>
      </c>
      <c r="M516">
        <v>1</v>
      </c>
      <c r="N516" t="s">
        <v>1067</v>
      </c>
      <c r="O516" t="s">
        <v>1068</v>
      </c>
      <c r="P516">
        <v>28.55</v>
      </c>
      <c r="Q516" s="2">
        <v>45052</v>
      </c>
      <c r="R516" s="2">
        <v>45061</v>
      </c>
      <c r="S516" t="s">
        <v>44</v>
      </c>
      <c r="T516">
        <f t="shared" si="56"/>
        <v>6748.8239999999996</v>
      </c>
      <c r="U516">
        <f t="shared" si="57"/>
        <v>10</v>
      </c>
      <c r="V516">
        <f t="shared" si="58"/>
        <v>7465.86</v>
      </c>
      <c r="W516">
        <f t="shared" si="59"/>
        <v>746.58600000000024</v>
      </c>
      <c r="X516">
        <f t="shared" si="60"/>
        <v>9</v>
      </c>
      <c r="Y516" cm="1">
        <f t="array" ref="Y516">_xlfn.IFS(H516=0.1,1,H516=0.15,1,H516=0.05,1,H516=0,0)</f>
        <v>1</v>
      </c>
      <c r="Z516">
        <f t="shared" si="61"/>
        <v>18</v>
      </c>
      <c r="AA516">
        <f t="shared" si="62"/>
        <v>2023</v>
      </c>
    </row>
    <row r="517" spans="1:27" x14ac:dyDescent="0.3">
      <c r="A517" s="2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1069</v>
      </c>
      <c r="O517" t="s">
        <v>632</v>
      </c>
      <c r="P517">
        <v>21.01</v>
      </c>
      <c r="Q517" s="2">
        <v>45611</v>
      </c>
      <c r="R517" s="2">
        <v>45613</v>
      </c>
      <c r="S517" t="s">
        <v>28</v>
      </c>
      <c r="T517">
        <f t="shared" si="56"/>
        <v>1004.41</v>
      </c>
      <c r="U517">
        <f t="shared" si="57"/>
        <v>0</v>
      </c>
      <c r="V517">
        <f t="shared" si="58"/>
        <v>982.4</v>
      </c>
      <c r="W517">
        <f t="shared" si="59"/>
        <v>0</v>
      </c>
      <c r="X517">
        <f t="shared" si="60"/>
        <v>2</v>
      </c>
      <c r="Y517" cm="1">
        <f t="array" ref="Y517">_xlfn.IFS(H517=0.1,1,H517=0.15,1,H517=0.05,1,H517=0,0)</f>
        <v>0</v>
      </c>
      <c r="Z517">
        <f t="shared" si="61"/>
        <v>0</v>
      </c>
      <c r="AA517">
        <f t="shared" si="62"/>
        <v>2024</v>
      </c>
    </row>
    <row r="518" spans="1:27" x14ac:dyDescent="0.3">
      <c r="A518" s="2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62</v>
      </c>
      <c r="L518" t="s">
        <v>25</v>
      </c>
      <c r="M518">
        <v>0</v>
      </c>
      <c r="N518" t="s">
        <v>1070</v>
      </c>
      <c r="O518" t="s">
        <v>1071</v>
      </c>
      <c r="P518">
        <v>38.22</v>
      </c>
      <c r="Q518" s="2">
        <v>45471</v>
      </c>
      <c r="R518" s="2">
        <v>45478</v>
      </c>
      <c r="S518" t="s">
        <v>50</v>
      </c>
      <c r="T518">
        <f t="shared" si="56"/>
        <v>1335.54</v>
      </c>
      <c r="U518">
        <f t="shared" si="57"/>
        <v>5</v>
      </c>
      <c r="V518">
        <f t="shared" si="58"/>
        <v>1365.6</v>
      </c>
      <c r="W518">
        <f t="shared" si="59"/>
        <v>68.279999999999973</v>
      </c>
      <c r="X518">
        <f t="shared" si="60"/>
        <v>7</v>
      </c>
      <c r="Y518" cm="1">
        <f t="array" ref="Y518">_xlfn.IFS(H518=0.1,1,H518=0.15,1,H518=0.05,1,H518=0,0)</f>
        <v>1</v>
      </c>
      <c r="Z518">
        <f t="shared" si="61"/>
        <v>6</v>
      </c>
      <c r="AA518">
        <f t="shared" si="62"/>
        <v>2024</v>
      </c>
    </row>
    <row r="519" spans="1:27" x14ac:dyDescent="0.3">
      <c r="A519" s="2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L519" t="s">
        <v>59</v>
      </c>
      <c r="M519">
        <v>0</v>
      </c>
      <c r="N519" t="s">
        <v>1072</v>
      </c>
      <c r="O519" t="s">
        <v>1073</v>
      </c>
      <c r="P519">
        <v>10.02</v>
      </c>
      <c r="Q519" s="2">
        <v>45788</v>
      </c>
      <c r="R519" s="2">
        <v>45797</v>
      </c>
      <c r="S519" t="s">
        <v>50</v>
      </c>
      <c r="T519">
        <f t="shared" si="56"/>
        <v>588.57249999999999</v>
      </c>
      <c r="U519">
        <f t="shared" si="57"/>
        <v>15</v>
      </c>
      <c r="V519">
        <f t="shared" si="58"/>
        <v>680.65</v>
      </c>
      <c r="W519">
        <f t="shared" si="59"/>
        <v>102.09749999999997</v>
      </c>
      <c r="X519">
        <f t="shared" si="60"/>
        <v>9</v>
      </c>
      <c r="Y519" cm="1">
        <f t="array" ref="Y519">_xlfn.IFS(H519=0.1,1,H519=0.15,1,H519=0.05,1,H519=0,0)</f>
        <v>1</v>
      </c>
      <c r="Z519">
        <f t="shared" si="61"/>
        <v>5</v>
      </c>
      <c r="AA519">
        <f t="shared" si="62"/>
        <v>2025</v>
      </c>
    </row>
    <row r="520" spans="1:27" x14ac:dyDescent="0.3">
      <c r="A520" s="2">
        <v>44983</v>
      </c>
      <c r="B520" t="s">
        <v>45</v>
      </c>
      <c r="C520" t="s">
        <v>81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1074</v>
      </c>
      <c r="O520" t="s">
        <v>1075</v>
      </c>
      <c r="P520">
        <v>44.73</v>
      </c>
      <c r="Q520" s="2">
        <v>44983</v>
      </c>
      <c r="R520" s="2">
        <v>44989</v>
      </c>
      <c r="S520" t="s">
        <v>50</v>
      </c>
      <c r="T520">
        <f t="shared" si="56"/>
        <v>2245.8150000000001</v>
      </c>
      <c r="U520">
        <f t="shared" si="57"/>
        <v>10</v>
      </c>
      <c r="V520">
        <f t="shared" si="58"/>
        <v>2445.65</v>
      </c>
      <c r="W520">
        <f t="shared" si="59"/>
        <v>244.56500000000005</v>
      </c>
      <c r="X520">
        <f t="shared" si="60"/>
        <v>6</v>
      </c>
      <c r="Y520" cm="1">
        <f t="array" ref="Y520">_xlfn.IFS(H520=0.1,1,H520=0.15,1,H520=0.05,1,H520=0,0)</f>
        <v>1</v>
      </c>
      <c r="Z520">
        <f t="shared" si="61"/>
        <v>5</v>
      </c>
      <c r="AA520">
        <f t="shared" si="62"/>
        <v>2023</v>
      </c>
    </row>
    <row r="521" spans="1:27" x14ac:dyDescent="0.3">
      <c r="A521" s="2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68</v>
      </c>
      <c r="J521">
        <v>1657.44</v>
      </c>
      <c r="K521" t="s">
        <v>62</v>
      </c>
      <c r="L521" t="s">
        <v>25</v>
      </c>
      <c r="M521">
        <v>0</v>
      </c>
      <c r="N521" t="s">
        <v>1076</v>
      </c>
      <c r="O521" t="s">
        <v>1077</v>
      </c>
      <c r="P521">
        <v>8.02</v>
      </c>
      <c r="Q521" s="2">
        <v>45412</v>
      </c>
      <c r="R521" s="2">
        <v>45419</v>
      </c>
      <c r="S521" t="s">
        <v>38</v>
      </c>
      <c r="T521">
        <f t="shared" si="56"/>
        <v>1665.46</v>
      </c>
      <c r="U521">
        <f t="shared" si="57"/>
        <v>0</v>
      </c>
      <c r="V521">
        <f t="shared" si="58"/>
        <v>1657.44</v>
      </c>
      <c r="W521">
        <f t="shared" si="59"/>
        <v>0</v>
      </c>
      <c r="X521">
        <f t="shared" si="60"/>
        <v>7</v>
      </c>
      <c r="Y521" cm="1">
        <f t="array" ref="Y521">_xlfn.IFS(H521=0.1,1,H521=0.15,1,H521=0.05,1,H521=0,0)</f>
        <v>0</v>
      </c>
      <c r="Z521">
        <f t="shared" si="61"/>
        <v>0</v>
      </c>
      <c r="AA521">
        <f t="shared" si="62"/>
        <v>2024</v>
      </c>
    </row>
    <row r="522" spans="1:27" x14ac:dyDescent="0.3">
      <c r="A522" s="2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L522" t="s">
        <v>59</v>
      </c>
      <c r="M522">
        <v>1</v>
      </c>
      <c r="N522" t="s">
        <v>1078</v>
      </c>
      <c r="O522" t="s">
        <v>1079</v>
      </c>
      <c r="P522">
        <v>31.4</v>
      </c>
      <c r="Q522" s="2">
        <v>45727</v>
      </c>
      <c r="R522" s="2">
        <v>45729</v>
      </c>
      <c r="S522" t="s">
        <v>28</v>
      </c>
      <c r="T522">
        <f t="shared" si="56"/>
        <v>737.52599999999995</v>
      </c>
      <c r="U522">
        <f t="shared" si="57"/>
        <v>15</v>
      </c>
      <c r="V522">
        <f t="shared" si="58"/>
        <v>829.56</v>
      </c>
      <c r="W522">
        <f t="shared" si="59"/>
        <v>124.43399999999997</v>
      </c>
      <c r="X522">
        <f t="shared" si="60"/>
        <v>2</v>
      </c>
      <c r="Y522" cm="1">
        <f t="array" ref="Y522">_xlfn.IFS(H522=0.1,1,H522=0.15,1,H522=0.05,1,H522=0,0)</f>
        <v>1</v>
      </c>
      <c r="Z522">
        <f t="shared" si="61"/>
        <v>6</v>
      </c>
      <c r="AA522">
        <f t="shared" si="62"/>
        <v>2025</v>
      </c>
    </row>
    <row r="523" spans="1:27" x14ac:dyDescent="0.3">
      <c r="A523" s="2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65</v>
      </c>
      <c r="L523" t="s">
        <v>59</v>
      </c>
      <c r="M523">
        <v>0</v>
      </c>
      <c r="N523" t="s">
        <v>1080</v>
      </c>
      <c r="O523" t="s">
        <v>1081</v>
      </c>
      <c r="P523">
        <v>37.33</v>
      </c>
      <c r="Q523" s="2">
        <v>45838</v>
      </c>
      <c r="R523" s="2">
        <v>45848</v>
      </c>
      <c r="S523" t="s">
        <v>28</v>
      </c>
      <c r="T523">
        <f t="shared" si="56"/>
        <v>5595.6279999999997</v>
      </c>
      <c r="U523">
        <f t="shared" si="57"/>
        <v>5</v>
      </c>
      <c r="V523">
        <f t="shared" si="58"/>
        <v>5850.84</v>
      </c>
      <c r="W523">
        <f t="shared" si="59"/>
        <v>292.54200000000037</v>
      </c>
      <c r="X523">
        <f t="shared" si="60"/>
        <v>10</v>
      </c>
      <c r="Y523" cm="1">
        <f t="array" ref="Y523">_xlfn.IFS(H523=0.1,1,H523=0.15,1,H523=0.05,1,H523=0,0)</f>
        <v>1</v>
      </c>
      <c r="Z523">
        <f t="shared" si="61"/>
        <v>12</v>
      </c>
      <c r="AA523">
        <f t="shared" si="62"/>
        <v>2025</v>
      </c>
    </row>
    <row r="524" spans="1:27" x14ac:dyDescent="0.3">
      <c r="A524" s="2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1082</v>
      </c>
      <c r="O524" t="s">
        <v>1083</v>
      </c>
      <c r="P524">
        <v>25.19</v>
      </c>
      <c r="Q524" s="2">
        <v>45445</v>
      </c>
      <c r="R524" s="2">
        <v>45451</v>
      </c>
      <c r="S524" t="s">
        <v>44</v>
      </c>
      <c r="T524">
        <f t="shared" si="56"/>
        <v>8144.8899999999994</v>
      </c>
      <c r="U524">
        <f t="shared" si="57"/>
        <v>5</v>
      </c>
      <c r="V524">
        <f t="shared" si="58"/>
        <v>8546</v>
      </c>
      <c r="W524">
        <f t="shared" si="59"/>
        <v>427.30000000000018</v>
      </c>
      <c r="X524">
        <f t="shared" si="60"/>
        <v>6</v>
      </c>
      <c r="Y524" cm="1">
        <f t="array" ref="Y524">_xlfn.IFS(H524=0.1,1,H524=0.15,1,H524=0.05,1,H524=0,0)</f>
        <v>1</v>
      </c>
      <c r="Z524">
        <f t="shared" si="61"/>
        <v>20</v>
      </c>
      <c r="AA524">
        <f t="shared" si="62"/>
        <v>2024</v>
      </c>
    </row>
    <row r="525" spans="1:27" x14ac:dyDescent="0.3">
      <c r="A525" s="2">
        <v>45536</v>
      </c>
      <c r="B525" t="s">
        <v>29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</v>
      </c>
      <c r="K525" t="s">
        <v>65</v>
      </c>
      <c r="L525" t="s">
        <v>25</v>
      </c>
      <c r="M525">
        <v>0</v>
      </c>
      <c r="N525" t="s">
        <v>1084</v>
      </c>
      <c r="O525" t="s">
        <v>1085</v>
      </c>
      <c r="P525">
        <v>7.89</v>
      </c>
      <c r="Q525" s="2">
        <v>45536</v>
      </c>
      <c r="R525" s="2">
        <v>45540</v>
      </c>
      <c r="S525" t="s">
        <v>38</v>
      </c>
      <c r="T525">
        <f t="shared" si="56"/>
        <v>8017.2019999999993</v>
      </c>
      <c r="U525">
        <f t="shared" si="57"/>
        <v>15</v>
      </c>
      <c r="V525">
        <f t="shared" si="58"/>
        <v>9422.7199999999993</v>
      </c>
      <c r="W525">
        <f t="shared" si="59"/>
        <v>1413.4080000000004</v>
      </c>
      <c r="X525">
        <f t="shared" si="60"/>
        <v>4</v>
      </c>
      <c r="Y525" cm="1">
        <f t="array" ref="Y525">_xlfn.IFS(H525=0.1,1,H525=0.15,1,H525=0.05,1,H525=0,0)</f>
        <v>1</v>
      </c>
      <c r="Z525">
        <f t="shared" si="61"/>
        <v>16</v>
      </c>
      <c r="AA525">
        <f t="shared" si="62"/>
        <v>2024</v>
      </c>
    </row>
    <row r="526" spans="1:27" x14ac:dyDescent="0.3">
      <c r="A526" s="2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65</v>
      </c>
      <c r="L526" t="s">
        <v>59</v>
      </c>
      <c r="M526">
        <v>0</v>
      </c>
      <c r="N526" t="s">
        <v>1086</v>
      </c>
      <c r="O526" t="s">
        <v>1087</v>
      </c>
      <c r="P526">
        <v>47.18</v>
      </c>
      <c r="Q526" s="2">
        <v>45668</v>
      </c>
      <c r="R526" s="2">
        <v>45675</v>
      </c>
      <c r="S526" t="s">
        <v>38</v>
      </c>
      <c r="T526">
        <f t="shared" si="56"/>
        <v>2366.21</v>
      </c>
      <c r="U526">
        <f t="shared" si="57"/>
        <v>10</v>
      </c>
      <c r="V526">
        <f t="shared" si="58"/>
        <v>2576.6999999999998</v>
      </c>
      <c r="W526">
        <f t="shared" si="59"/>
        <v>257.66999999999962</v>
      </c>
      <c r="X526">
        <f t="shared" si="60"/>
        <v>7</v>
      </c>
      <c r="Y526" cm="1">
        <f t="array" ref="Y526">_xlfn.IFS(H526=0.1,1,H526=0.15,1,H526=0.05,1,H526=0,0)</f>
        <v>1</v>
      </c>
      <c r="Z526">
        <f t="shared" si="61"/>
        <v>6</v>
      </c>
      <c r="AA526">
        <f t="shared" si="62"/>
        <v>2025</v>
      </c>
    </row>
    <row r="527" spans="1:27" x14ac:dyDescent="0.3">
      <c r="A527" s="2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65</v>
      </c>
      <c r="L527" t="s">
        <v>25</v>
      </c>
      <c r="M527">
        <v>0</v>
      </c>
      <c r="N527" t="s">
        <v>1088</v>
      </c>
      <c r="O527" t="s">
        <v>1089</v>
      </c>
      <c r="P527">
        <v>18.95</v>
      </c>
      <c r="Q527" s="2">
        <v>45747</v>
      </c>
      <c r="R527" s="2">
        <v>45750</v>
      </c>
      <c r="S527" t="s">
        <v>38</v>
      </c>
      <c r="T527">
        <f t="shared" si="56"/>
        <v>423.55</v>
      </c>
      <c r="U527">
        <f t="shared" si="57"/>
        <v>15</v>
      </c>
      <c r="V527">
        <f t="shared" si="58"/>
        <v>476</v>
      </c>
      <c r="W527">
        <f t="shared" si="59"/>
        <v>71.399999999999977</v>
      </c>
      <c r="X527">
        <f t="shared" si="60"/>
        <v>3</v>
      </c>
      <c r="Y527" cm="1">
        <f t="array" ref="Y527">_xlfn.IFS(H527=0.1,1,H527=0.15,1,H527=0.05,1,H527=0,0)</f>
        <v>1</v>
      </c>
      <c r="Z527">
        <f t="shared" si="61"/>
        <v>1</v>
      </c>
      <c r="AA527">
        <f t="shared" si="62"/>
        <v>2025</v>
      </c>
    </row>
    <row r="528" spans="1:27" x14ac:dyDescent="0.3">
      <c r="A528" s="2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L528" t="s">
        <v>59</v>
      </c>
      <c r="M528">
        <v>0</v>
      </c>
      <c r="N528" t="s">
        <v>1090</v>
      </c>
      <c r="O528" t="s">
        <v>704</v>
      </c>
      <c r="P528">
        <v>23.68</v>
      </c>
      <c r="Q528" s="2">
        <v>45624</v>
      </c>
      <c r="R528" s="2">
        <v>45631</v>
      </c>
      <c r="S528" t="s">
        <v>38</v>
      </c>
      <c r="T528">
        <f t="shared" si="56"/>
        <v>1860.0600000000002</v>
      </c>
      <c r="U528">
        <f t="shared" si="57"/>
        <v>0</v>
      </c>
      <c r="V528">
        <f t="shared" si="58"/>
        <v>1836.3799999999999</v>
      </c>
      <c r="W528">
        <f t="shared" si="59"/>
        <v>0</v>
      </c>
      <c r="X528">
        <f t="shared" si="60"/>
        <v>7</v>
      </c>
      <c r="Y528" cm="1">
        <f t="array" ref="Y528">_xlfn.IFS(H528=0.1,1,H528=0.15,1,H528=0.05,1,H528=0,0)</f>
        <v>0</v>
      </c>
      <c r="Z528">
        <f t="shared" si="61"/>
        <v>0</v>
      </c>
      <c r="AA528">
        <f t="shared" si="62"/>
        <v>2024</v>
      </c>
    </row>
    <row r="529" spans="1:27" x14ac:dyDescent="0.3">
      <c r="A529" s="2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1091</v>
      </c>
      <c r="O529" t="s">
        <v>1092</v>
      </c>
      <c r="P529">
        <v>44.46</v>
      </c>
      <c r="Q529" s="2">
        <v>45112</v>
      </c>
      <c r="R529" s="2">
        <v>45114</v>
      </c>
      <c r="S529" t="s">
        <v>44</v>
      </c>
      <c r="T529">
        <f t="shared" si="56"/>
        <v>683.61750000000006</v>
      </c>
      <c r="U529">
        <f t="shared" si="57"/>
        <v>15</v>
      </c>
      <c r="V529">
        <f t="shared" si="58"/>
        <v>751.95</v>
      </c>
      <c r="W529">
        <f t="shared" si="59"/>
        <v>112.79250000000002</v>
      </c>
      <c r="X529">
        <f t="shared" si="60"/>
        <v>2</v>
      </c>
      <c r="Y529" cm="1">
        <f t="array" ref="Y529">_xlfn.IFS(H529=0.1,1,H529=0.15,1,H529=0.05,1,H529=0,0)</f>
        <v>1</v>
      </c>
      <c r="Z529">
        <f t="shared" si="61"/>
        <v>3</v>
      </c>
      <c r="AA529">
        <f t="shared" si="62"/>
        <v>2023</v>
      </c>
    </row>
    <row r="530" spans="1:27" x14ac:dyDescent="0.3">
      <c r="A530" s="2">
        <v>45589</v>
      </c>
      <c r="B530" t="s">
        <v>71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62</v>
      </c>
      <c r="L530" t="s">
        <v>41</v>
      </c>
      <c r="M530">
        <v>0</v>
      </c>
      <c r="N530" t="s">
        <v>1093</v>
      </c>
      <c r="O530" t="s">
        <v>1094</v>
      </c>
      <c r="P530">
        <v>5.71</v>
      </c>
      <c r="Q530" s="2">
        <v>45589</v>
      </c>
      <c r="R530" s="2">
        <v>45599</v>
      </c>
      <c r="S530" t="s">
        <v>74</v>
      </c>
      <c r="T530">
        <f t="shared" si="56"/>
        <v>5441.8284999999996</v>
      </c>
      <c r="U530">
        <f t="shared" si="57"/>
        <v>5</v>
      </c>
      <c r="V530">
        <f t="shared" si="58"/>
        <v>5722.2300000000005</v>
      </c>
      <c r="W530">
        <f t="shared" si="59"/>
        <v>286.11150000000089</v>
      </c>
      <c r="X530">
        <f t="shared" si="60"/>
        <v>10</v>
      </c>
      <c r="Y530" cm="1">
        <f t="array" ref="Y530">_xlfn.IFS(H530=0.1,1,H530=0.15,1,H530=0.05,1,H530=0,0)</f>
        <v>1</v>
      </c>
      <c r="Z530">
        <f t="shared" si="61"/>
        <v>19</v>
      </c>
      <c r="AA530">
        <f t="shared" si="62"/>
        <v>2024</v>
      </c>
    </row>
    <row r="531" spans="1:27" x14ac:dyDescent="0.3">
      <c r="A531" s="2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68</v>
      </c>
      <c r="J531">
        <v>193.977</v>
      </c>
      <c r="K531" t="s">
        <v>65</v>
      </c>
      <c r="L531" t="s">
        <v>41</v>
      </c>
      <c r="M531">
        <v>1</v>
      </c>
      <c r="N531" t="s">
        <v>1095</v>
      </c>
      <c r="O531" t="s">
        <v>1096</v>
      </c>
      <c r="P531">
        <v>11.39</v>
      </c>
      <c r="Q531" s="2">
        <v>45755</v>
      </c>
      <c r="R531" s="2">
        <v>45763</v>
      </c>
      <c r="S531" t="s">
        <v>44</v>
      </c>
      <c r="T531">
        <f t="shared" si="56"/>
        <v>206.36700000000002</v>
      </c>
      <c r="U531">
        <f t="shared" si="57"/>
        <v>10</v>
      </c>
      <c r="V531">
        <f t="shared" si="58"/>
        <v>215.53</v>
      </c>
      <c r="W531">
        <f t="shared" si="59"/>
        <v>21.552999999999997</v>
      </c>
      <c r="X531">
        <f t="shared" si="60"/>
        <v>8</v>
      </c>
      <c r="Y531" cm="1">
        <f t="array" ref="Y531">_xlfn.IFS(H531=0.1,1,H531=0.15,1,H531=0.05,1,H531=0,0)</f>
        <v>1</v>
      </c>
      <c r="Z531">
        <f t="shared" si="61"/>
        <v>7</v>
      </c>
      <c r="AA531">
        <f t="shared" si="62"/>
        <v>2025</v>
      </c>
    </row>
    <row r="532" spans="1:27" x14ac:dyDescent="0.3">
      <c r="A532" s="2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62</v>
      </c>
      <c r="L532" t="s">
        <v>35</v>
      </c>
      <c r="M532">
        <v>0</v>
      </c>
      <c r="N532" t="s">
        <v>1097</v>
      </c>
      <c r="O532" t="s">
        <v>320</v>
      </c>
      <c r="P532">
        <v>38.020000000000003</v>
      </c>
      <c r="Q532" s="2">
        <v>45448</v>
      </c>
      <c r="R532" s="2">
        <v>45453</v>
      </c>
      <c r="S532" t="s">
        <v>28</v>
      </c>
      <c r="T532">
        <f t="shared" si="56"/>
        <v>515.38</v>
      </c>
      <c r="U532">
        <f t="shared" si="57"/>
        <v>15</v>
      </c>
      <c r="V532">
        <f t="shared" si="58"/>
        <v>561.6</v>
      </c>
      <c r="W532">
        <f t="shared" si="59"/>
        <v>84.240000000000009</v>
      </c>
      <c r="X532">
        <f t="shared" si="60"/>
        <v>5</v>
      </c>
      <c r="Y532" cm="1">
        <f t="array" ref="Y532">_xlfn.IFS(H532=0.1,1,H532=0.15,1,H532=0.05,1,H532=0,0)</f>
        <v>1</v>
      </c>
      <c r="Z532">
        <f t="shared" si="61"/>
        <v>1</v>
      </c>
      <c r="AA532">
        <f t="shared" si="62"/>
        <v>2024</v>
      </c>
    </row>
    <row r="533" spans="1:27" x14ac:dyDescent="0.3">
      <c r="A533" s="2">
        <v>45680</v>
      </c>
      <c r="B533" t="s">
        <v>71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68</v>
      </c>
      <c r="J533">
        <v>2634.32</v>
      </c>
      <c r="K533" t="s">
        <v>58</v>
      </c>
      <c r="L533" t="s">
        <v>35</v>
      </c>
      <c r="M533">
        <v>0</v>
      </c>
      <c r="N533" t="s">
        <v>1098</v>
      </c>
      <c r="O533" t="s">
        <v>1099</v>
      </c>
      <c r="P533">
        <v>6.83</v>
      </c>
      <c r="Q533" s="2">
        <v>45680</v>
      </c>
      <c r="R533" s="2">
        <v>45686</v>
      </c>
      <c r="S533" t="s">
        <v>74</v>
      </c>
      <c r="T533">
        <f t="shared" si="56"/>
        <v>2641.15</v>
      </c>
      <c r="U533">
        <f t="shared" si="57"/>
        <v>15</v>
      </c>
      <c r="V533">
        <f t="shared" si="58"/>
        <v>3099.2</v>
      </c>
      <c r="W533">
        <f t="shared" si="59"/>
        <v>464.87999999999965</v>
      </c>
      <c r="X533">
        <f t="shared" si="60"/>
        <v>6</v>
      </c>
      <c r="Y533" cm="1">
        <f t="array" ref="Y533">_xlfn.IFS(H533=0.1,1,H533=0.15,1,H533=0.05,1,H533=0,0)</f>
        <v>1</v>
      </c>
      <c r="Z533">
        <f t="shared" si="61"/>
        <v>16</v>
      </c>
      <c r="AA533">
        <f t="shared" si="62"/>
        <v>2025</v>
      </c>
    </row>
    <row r="534" spans="1:27" x14ac:dyDescent="0.3">
      <c r="A534" s="2">
        <v>45600</v>
      </c>
      <c r="B534" t="s">
        <v>45</v>
      </c>
      <c r="C534" t="s">
        <v>81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5006.9844999999987</v>
      </c>
      <c r="K534" t="s">
        <v>24</v>
      </c>
      <c r="L534" t="s">
        <v>25</v>
      </c>
      <c r="M534">
        <v>0</v>
      </c>
      <c r="N534" t="s">
        <v>1100</v>
      </c>
      <c r="O534" t="s">
        <v>1101</v>
      </c>
      <c r="P534">
        <v>8.06</v>
      </c>
      <c r="Q534" s="2">
        <v>45600</v>
      </c>
      <c r="R534" s="2">
        <v>45608</v>
      </c>
      <c r="S534" t="s">
        <v>50</v>
      </c>
      <c r="T534">
        <f t="shared" si="56"/>
        <v>5015.0444999999991</v>
      </c>
      <c r="U534">
        <f t="shared" si="57"/>
        <v>5</v>
      </c>
      <c r="V534">
        <f t="shared" si="58"/>
        <v>5270.5099999999993</v>
      </c>
      <c r="W534">
        <f t="shared" si="59"/>
        <v>263.52550000000065</v>
      </c>
      <c r="X534">
        <f t="shared" si="60"/>
        <v>8</v>
      </c>
      <c r="Y534" cm="1">
        <f t="array" ref="Y534">_xlfn.IFS(H534=0.1,1,H534=0.15,1,H534=0.05,1,H534=0,0)</f>
        <v>1</v>
      </c>
      <c r="Z534">
        <f t="shared" si="61"/>
        <v>17</v>
      </c>
      <c r="AA534">
        <f t="shared" si="62"/>
        <v>2024</v>
      </c>
    </row>
    <row r="535" spans="1:27" x14ac:dyDescent="0.3">
      <c r="A535" s="2">
        <v>45292</v>
      </c>
      <c r="B535" t="s">
        <v>71</v>
      </c>
      <c r="C535" t="s">
        <v>132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L535" t="s">
        <v>59</v>
      </c>
      <c r="M535">
        <v>0</v>
      </c>
      <c r="N535" t="s">
        <v>1102</v>
      </c>
      <c r="O535" t="s">
        <v>1103</v>
      </c>
      <c r="P535">
        <v>6.76</v>
      </c>
      <c r="Q535" s="2">
        <v>45292</v>
      </c>
      <c r="R535" s="2">
        <v>45296</v>
      </c>
      <c r="S535" t="s">
        <v>74</v>
      </c>
      <c r="T535">
        <f t="shared" si="56"/>
        <v>2268.3635000000004</v>
      </c>
      <c r="U535">
        <f t="shared" si="57"/>
        <v>15</v>
      </c>
      <c r="V535">
        <f t="shared" si="58"/>
        <v>2660.71</v>
      </c>
      <c r="W535">
        <f t="shared" si="59"/>
        <v>399.10649999999987</v>
      </c>
      <c r="X535">
        <f t="shared" si="60"/>
        <v>4</v>
      </c>
      <c r="Y535" cm="1">
        <f t="array" ref="Y535">_xlfn.IFS(H535=0.1,1,H535=0.15,1,H535=0.05,1,H535=0,0)</f>
        <v>1</v>
      </c>
      <c r="Z535">
        <f t="shared" si="61"/>
        <v>13</v>
      </c>
      <c r="AA535">
        <f t="shared" si="62"/>
        <v>2024</v>
      </c>
    </row>
    <row r="536" spans="1:27" x14ac:dyDescent="0.3">
      <c r="A536" s="2">
        <v>45391</v>
      </c>
      <c r="B536" t="s">
        <v>45</v>
      </c>
      <c r="C536" t="s">
        <v>132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1104</v>
      </c>
      <c r="O536" t="s">
        <v>1105</v>
      </c>
      <c r="P536">
        <v>36.35</v>
      </c>
      <c r="Q536" s="2">
        <v>45391</v>
      </c>
      <c r="R536" s="2">
        <v>45399</v>
      </c>
      <c r="S536" t="s">
        <v>50</v>
      </c>
      <c r="T536">
        <f t="shared" si="56"/>
        <v>786.68000000000006</v>
      </c>
      <c r="U536">
        <f t="shared" si="57"/>
        <v>0</v>
      </c>
      <c r="V536">
        <f t="shared" si="58"/>
        <v>750.33</v>
      </c>
      <c r="W536">
        <f t="shared" si="59"/>
        <v>0</v>
      </c>
      <c r="X536">
        <f t="shared" si="60"/>
        <v>8</v>
      </c>
      <c r="Y536" cm="1">
        <f t="array" ref="Y536">_xlfn.IFS(H536=0.1,1,H536=0.15,1,H536=0.05,1,H536=0,0)</f>
        <v>0</v>
      </c>
      <c r="Z536">
        <f t="shared" si="61"/>
        <v>0</v>
      </c>
      <c r="AA536">
        <f t="shared" si="62"/>
        <v>2024</v>
      </c>
    </row>
    <row r="537" spans="1:27" x14ac:dyDescent="0.3">
      <c r="A537" s="2">
        <v>45674</v>
      </c>
      <c r="B537" t="s">
        <v>39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1106</v>
      </c>
      <c r="O537" t="s">
        <v>1107</v>
      </c>
      <c r="P537">
        <v>29.75</v>
      </c>
      <c r="Q537" s="2">
        <v>45674</v>
      </c>
      <c r="R537" s="2">
        <v>45682</v>
      </c>
      <c r="S537" t="s">
        <v>44</v>
      </c>
      <c r="T537">
        <f t="shared" si="56"/>
        <v>6351.59</v>
      </c>
      <c r="U537">
        <f t="shared" si="57"/>
        <v>0</v>
      </c>
      <c r="V537">
        <f t="shared" si="58"/>
        <v>6321.84</v>
      </c>
      <c r="W537">
        <f t="shared" si="59"/>
        <v>0</v>
      </c>
      <c r="X537">
        <f t="shared" si="60"/>
        <v>8</v>
      </c>
      <c r="Y537" cm="1">
        <f t="array" ref="Y537">_xlfn.IFS(H537=0.1,1,H537=0.15,1,H537=0.05,1,H537=0,0)</f>
        <v>0</v>
      </c>
      <c r="Z537">
        <f t="shared" si="61"/>
        <v>0</v>
      </c>
      <c r="AA537">
        <f t="shared" si="62"/>
        <v>2025</v>
      </c>
    </row>
    <row r="538" spans="1:27" x14ac:dyDescent="0.3">
      <c r="A538" s="2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68</v>
      </c>
      <c r="J538">
        <v>10351.799999999999</v>
      </c>
      <c r="K538" t="s">
        <v>24</v>
      </c>
      <c r="L538" t="s">
        <v>25</v>
      </c>
      <c r="M538">
        <v>0</v>
      </c>
      <c r="N538" t="s">
        <v>1108</v>
      </c>
      <c r="O538" t="s">
        <v>1109</v>
      </c>
      <c r="P538">
        <v>35.32</v>
      </c>
      <c r="Q538" s="2">
        <v>45557</v>
      </c>
      <c r="R538" s="2">
        <v>45564</v>
      </c>
      <c r="S538" t="s">
        <v>28</v>
      </c>
      <c r="T538">
        <f t="shared" si="56"/>
        <v>10387.119999999999</v>
      </c>
      <c r="U538">
        <f t="shared" si="57"/>
        <v>0</v>
      </c>
      <c r="V538">
        <f t="shared" si="58"/>
        <v>10351.800000000001</v>
      </c>
      <c r="W538">
        <f t="shared" si="59"/>
        <v>0</v>
      </c>
      <c r="X538">
        <f t="shared" si="60"/>
        <v>7</v>
      </c>
      <c r="Y538" cm="1">
        <f t="array" ref="Y538">_xlfn.IFS(H538=0.1,1,H538=0.15,1,H538=0.05,1,H538=0,0)</f>
        <v>0</v>
      </c>
      <c r="Z538">
        <f t="shared" si="61"/>
        <v>0</v>
      </c>
      <c r="AA538">
        <f t="shared" si="62"/>
        <v>2024</v>
      </c>
    </row>
    <row r="539" spans="1:27" x14ac:dyDescent="0.3">
      <c r="A539" s="2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62</v>
      </c>
      <c r="L539" t="s">
        <v>41</v>
      </c>
      <c r="M539">
        <v>0</v>
      </c>
      <c r="N539" t="s">
        <v>1110</v>
      </c>
      <c r="O539" t="s">
        <v>1111</v>
      </c>
      <c r="P539">
        <v>45.59</v>
      </c>
      <c r="Q539" s="2">
        <v>44946</v>
      </c>
      <c r="R539" s="2">
        <v>44951</v>
      </c>
      <c r="S539" t="s">
        <v>28</v>
      </c>
      <c r="T539">
        <f t="shared" si="56"/>
        <v>2389.3340000000003</v>
      </c>
      <c r="U539">
        <f t="shared" si="57"/>
        <v>10</v>
      </c>
      <c r="V539">
        <f t="shared" si="58"/>
        <v>2604.16</v>
      </c>
      <c r="W539">
        <f t="shared" si="59"/>
        <v>260.41599999999971</v>
      </c>
      <c r="X539">
        <f t="shared" si="60"/>
        <v>5</v>
      </c>
      <c r="Y539" cm="1">
        <f t="array" ref="Y539">_xlfn.IFS(H539=0.1,1,H539=0.15,1,H539=0.05,1,H539=0,0)</f>
        <v>1</v>
      </c>
      <c r="Z539">
        <f t="shared" si="61"/>
        <v>8</v>
      </c>
      <c r="AA539">
        <f t="shared" si="62"/>
        <v>2023</v>
      </c>
    </row>
    <row r="540" spans="1:27" x14ac:dyDescent="0.3">
      <c r="A540" s="2">
        <v>45303</v>
      </c>
      <c r="B540" t="s">
        <v>39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1112</v>
      </c>
      <c r="O540" t="s">
        <v>1113</v>
      </c>
      <c r="P540">
        <v>36.04</v>
      </c>
      <c r="Q540" s="2">
        <v>45303</v>
      </c>
      <c r="R540" s="2">
        <v>45313</v>
      </c>
      <c r="S540" t="s">
        <v>44</v>
      </c>
      <c r="T540">
        <f t="shared" si="56"/>
        <v>1906.0059999999999</v>
      </c>
      <c r="U540">
        <f t="shared" si="57"/>
        <v>15</v>
      </c>
      <c r="V540">
        <f t="shared" si="58"/>
        <v>2199.96</v>
      </c>
      <c r="W540">
        <f t="shared" si="59"/>
        <v>329.99400000000014</v>
      </c>
      <c r="X540">
        <f t="shared" si="60"/>
        <v>10</v>
      </c>
      <c r="Y540" cm="1">
        <f t="array" ref="Y540">_xlfn.IFS(H540=0.1,1,H540=0.15,1,H540=0.05,1,H540=0,0)</f>
        <v>1</v>
      </c>
      <c r="Z540">
        <f t="shared" si="61"/>
        <v>14</v>
      </c>
      <c r="AA540">
        <f t="shared" si="62"/>
        <v>2024</v>
      </c>
    </row>
    <row r="541" spans="1:27" x14ac:dyDescent="0.3">
      <c r="A541" s="2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1114</v>
      </c>
      <c r="O541" t="s">
        <v>1115</v>
      </c>
      <c r="P541">
        <v>36.71</v>
      </c>
      <c r="Q541" s="2">
        <v>45390</v>
      </c>
      <c r="R541" s="2">
        <v>45397</v>
      </c>
      <c r="S541" t="s">
        <v>50</v>
      </c>
      <c r="T541">
        <f t="shared" si="56"/>
        <v>989.18000000000006</v>
      </c>
      <c r="U541">
        <f t="shared" si="57"/>
        <v>5</v>
      </c>
      <c r="V541">
        <f t="shared" si="58"/>
        <v>1002.6</v>
      </c>
      <c r="W541">
        <f t="shared" si="59"/>
        <v>50.129999999999995</v>
      </c>
      <c r="X541">
        <f t="shared" si="60"/>
        <v>7</v>
      </c>
      <c r="Y541" cm="1">
        <f t="array" ref="Y541">_xlfn.IFS(H541=0.1,1,H541=0.15,1,H541=0.05,1,H541=0,0)</f>
        <v>1</v>
      </c>
      <c r="Z541">
        <f t="shared" si="61"/>
        <v>10</v>
      </c>
      <c r="AA541">
        <f t="shared" si="62"/>
        <v>2024</v>
      </c>
    </row>
    <row r="542" spans="1:27" x14ac:dyDescent="0.3">
      <c r="A542" s="2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L542" t="s">
        <v>59</v>
      </c>
      <c r="M542">
        <v>0</v>
      </c>
      <c r="N542" t="s">
        <v>1116</v>
      </c>
      <c r="O542" t="s">
        <v>1117</v>
      </c>
      <c r="P542">
        <v>48.26</v>
      </c>
      <c r="Q542" s="2">
        <v>45043</v>
      </c>
      <c r="R542" s="2">
        <v>45047</v>
      </c>
      <c r="S542" t="s">
        <v>50</v>
      </c>
      <c r="T542">
        <f t="shared" si="56"/>
        <v>5038.58</v>
      </c>
      <c r="U542">
        <f t="shared" si="57"/>
        <v>0</v>
      </c>
      <c r="V542">
        <f t="shared" si="58"/>
        <v>4990.32</v>
      </c>
      <c r="W542">
        <f t="shared" si="59"/>
        <v>0</v>
      </c>
      <c r="X542">
        <f t="shared" si="60"/>
        <v>4</v>
      </c>
      <c r="Y542" cm="1">
        <f t="array" ref="Y542">_xlfn.IFS(H542=0.1,1,H542=0.15,1,H542=0.05,1,H542=0,0)</f>
        <v>0</v>
      </c>
      <c r="Z542">
        <f t="shared" si="61"/>
        <v>0</v>
      </c>
      <c r="AA542">
        <f t="shared" si="62"/>
        <v>2023</v>
      </c>
    </row>
    <row r="543" spans="1:27" x14ac:dyDescent="0.3">
      <c r="A543" s="2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62</v>
      </c>
      <c r="L543" t="s">
        <v>59</v>
      </c>
      <c r="M543">
        <v>0</v>
      </c>
      <c r="N543" t="s">
        <v>1118</v>
      </c>
      <c r="O543" t="s">
        <v>1119</v>
      </c>
      <c r="P543">
        <v>44.99</v>
      </c>
      <c r="Q543" s="2">
        <v>45490</v>
      </c>
      <c r="R543" s="2">
        <v>45498</v>
      </c>
      <c r="S543" t="s">
        <v>44</v>
      </c>
      <c r="T543">
        <f t="shared" si="56"/>
        <v>1323.2539999999999</v>
      </c>
      <c r="U543">
        <f t="shared" si="57"/>
        <v>15</v>
      </c>
      <c r="V543">
        <f t="shared" si="58"/>
        <v>1503.84</v>
      </c>
      <c r="W543">
        <f t="shared" si="59"/>
        <v>225.57600000000002</v>
      </c>
      <c r="X543">
        <f t="shared" si="60"/>
        <v>8</v>
      </c>
      <c r="Y543" cm="1">
        <f t="array" ref="Y543">_xlfn.IFS(H543=0.1,1,H543=0.15,1,H543=0.05,1,H543=0,0)</f>
        <v>1</v>
      </c>
      <c r="Z543">
        <f t="shared" si="61"/>
        <v>4</v>
      </c>
      <c r="AA543">
        <f t="shared" si="62"/>
        <v>2024</v>
      </c>
    </row>
    <row r="544" spans="1:27" x14ac:dyDescent="0.3">
      <c r="A544" s="2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1120</v>
      </c>
      <c r="O544" t="s">
        <v>1121</v>
      </c>
      <c r="P544">
        <v>41.72</v>
      </c>
      <c r="Q544" s="2">
        <v>45339</v>
      </c>
      <c r="R544" s="2">
        <v>45345</v>
      </c>
      <c r="S544" t="s">
        <v>50</v>
      </c>
      <c r="T544">
        <f t="shared" si="56"/>
        <v>6834.66</v>
      </c>
      <c r="U544">
        <f t="shared" si="57"/>
        <v>0</v>
      </c>
      <c r="V544">
        <f t="shared" si="58"/>
        <v>6792.94</v>
      </c>
      <c r="W544">
        <f t="shared" si="59"/>
        <v>0</v>
      </c>
      <c r="X544">
        <f t="shared" si="60"/>
        <v>6</v>
      </c>
      <c r="Y544" cm="1">
        <f t="array" ref="Y544">_xlfn.IFS(H544=0.1,1,H544=0.15,1,H544=0.05,1,H544=0,0)</f>
        <v>0</v>
      </c>
      <c r="Z544">
        <f t="shared" si="61"/>
        <v>0</v>
      </c>
      <c r="AA544">
        <f t="shared" si="62"/>
        <v>2024</v>
      </c>
    </row>
    <row r="545" spans="1:27" x14ac:dyDescent="0.3">
      <c r="A545" s="2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1122</v>
      </c>
      <c r="O545" t="s">
        <v>1123</v>
      </c>
      <c r="P545">
        <v>41.87</v>
      </c>
      <c r="Q545" s="2">
        <v>45316</v>
      </c>
      <c r="R545" s="2">
        <v>45324</v>
      </c>
      <c r="S545" t="s">
        <v>38</v>
      </c>
      <c r="T545">
        <f t="shared" si="56"/>
        <v>3226.232</v>
      </c>
      <c r="U545">
        <f t="shared" si="57"/>
        <v>5</v>
      </c>
      <c r="V545">
        <f t="shared" si="58"/>
        <v>3351.96</v>
      </c>
      <c r="W545">
        <f t="shared" si="59"/>
        <v>167.59799999999996</v>
      </c>
      <c r="X545">
        <f t="shared" si="60"/>
        <v>8</v>
      </c>
      <c r="Y545" cm="1">
        <f t="array" ref="Y545">_xlfn.IFS(H545=0.1,1,H545=0.15,1,H545=0.05,1,H545=0,0)</f>
        <v>1</v>
      </c>
      <c r="Z545">
        <f t="shared" si="61"/>
        <v>9</v>
      </c>
      <c r="AA545">
        <f t="shared" si="62"/>
        <v>2024</v>
      </c>
    </row>
    <row r="546" spans="1:27" x14ac:dyDescent="0.3">
      <c r="A546" s="2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62</v>
      </c>
      <c r="L546" t="s">
        <v>59</v>
      </c>
      <c r="M546">
        <v>1</v>
      </c>
      <c r="N546" t="s">
        <v>1124</v>
      </c>
      <c r="O546" t="s">
        <v>1125</v>
      </c>
      <c r="P546">
        <v>24.53</v>
      </c>
      <c r="Q546" s="2">
        <v>45375</v>
      </c>
      <c r="R546" s="2">
        <v>45384</v>
      </c>
      <c r="S546" t="s">
        <v>50</v>
      </c>
      <c r="T546">
        <f t="shared" si="56"/>
        <v>1009.24</v>
      </c>
      <c r="U546">
        <f t="shared" si="57"/>
        <v>0</v>
      </c>
      <c r="V546">
        <f t="shared" si="58"/>
        <v>983.71</v>
      </c>
      <c r="W546">
        <f t="shared" si="59"/>
        <v>0</v>
      </c>
      <c r="X546">
        <f t="shared" si="60"/>
        <v>9</v>
      </c>
      <c r="Y546" cm="1">
        <f t="array" ref="Y546">_xlfn.IFS(H546=0.1,1,H546=0.15,1,H546=0.05,1,H546=0,0)</f>
        <v>0</v>
      </c>
      <c r="Z546">
        <f t="shared" si="61"/>
        <v>0</v>
      </c>
      <c r="AA546">
        <f t="shared" si="62"/>
        <v>2024</v>
      </c>
    </row>
    <row r="547" spans="1:27" x14ac:dyDescent="0.3">
      <c r="A547" s="2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68</v>
      </c>
      <c r="J547">
        <v>4661.5275000000001</v>
      </c>
      <c r="K547" t="s">
        <v>65</v>
      </c>
      <c r="L547" t="s">
        <v>25</v>
      </c>
      <c r="M547">
        <v>0</v>
      </c>
      <c r="N547" t="s">
        <v>1126</v>
      </c>
      <c r="O547" t="s">
        <v>1127</v>
      </c>
      <c r="P547">
        <v>35.840000000000003</v>
      </c>
      <c r="Q547" s="2">
        <v>45102</v>
      </c>
      <c r="R547" s="2">
        <v>45104</v>
      </c>
      <c r="S547" t="s">
        <v>44</v>
      </c>
      <c r="T547">
        <f t="shared" si="56"/>
        <v>4697.3675000000003</v>
      </c>
      <c r="U547">
        <f t="shared" si="57"/>
        <v>15</v>
      </c>
      <c r="V547">
        <f t="shared" si="58"/>
        <v>5484.1500000000005</v>
      </c>
      <c r="W547">
        <f t="shared" si="59"/>
        <v>822.6225000000004</v>
      </c>
      <c r="X547">
        <f t="shared" si="60"/>
        <v>2</v>
      </c>
      <c r="Y547" cm="1">
        <f t="array" ref="Y547">_xlfn.IFS(H547=0.1,1,H547=0.15,1,H547=0.05,1,H547=0,0)</f>
        <v>1</v>
      </c>
      <c r="Z547">
        <f t="shared" si="61"/>
        <v>15</v>
      </c>
      <c r="AA547">
        <f t="shared" si="62"/>
        <v>2023</v>
      </c>
    </row>
    <row r="548" spans="1:27" x14ac:dyDescent="0.3">
      <c r="A548" s="2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6017.4900000000007</v>
      </c>
      <c r="K548" t="s">
        <v>65</v>
      </c>
      <c r="L548" t="s">
        <v>41</v>
      </c>
      <c r="M548">
        <v>1</v>
      </c>
      <c r="N548" t="s">
        <v>1128</v>
      </c>
      <c r="O548" t="s">
        <v>1129</v>
      </c>
      <c r="P548">
        <v>22.05</v>
      </c>
      <c r="Q548" s="2">
        <v>45033</v>
      </c>
      <c r="R548" s="2">
        <v>45036</v>
      </c>
      <c r="S548" t="s">
        <v>38</v>
      </c>
      <c r="T548">
        <f t="shared" si="56"/>
        <v>6040.5400000000009</v>
      </c>
      <c r="U548">
        <f t="shared" si="57"/>
        <v>15</v>
      </c>
      <c r="V548">
        <f t="shared" si="58"/>
        <v>7079.4000000000005</v>
      </c>
      <c r="W548">
        <f t="shared" si="59"/>
        <v>1061.9099999999999</v>
      </c>
      <c r="X548">
        <f t="shared" si="60"/>
        <v>3</v>
      </c>
      <c r="Y548" cm="1">
        <f t="array" ref="Y548">_xlfn.IFS(H548=0.1,1,H548=0.15,1,H548=0.05,1,H548=0,0)</f>
        <v>1</v>
      </c>
      <c r="Z548">
        <f t="shared" si="61"/>
        <v>20</v>
      </c>
      <c r="AA548">
        <f t="shared" si="62"/>
        <v>2023</v>
      </c>
    </row>
    <row r="549" spans="1:27" x14ac:dyDescent="0.3">
      <c r="A549" s="2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L549" t="s">
        <v>59</v>
      </c>
      <c r="M549">
        <v>0</v>
      </c>
      <c r="N549" t="s">
        <v>1130</v>
      </c>
      <c r="O549" t="s">
        <v>1131</v>
      </c>
      <c r="P549">
        <v>21.61</v>
      </c>
      <c r="Q549" s="2">
        <v>45105</v>
      </c>
      <c r="R549" s="2">
        <v>45107</v>
      </c>
      <c r="S549" t="s">
        <v>28</v>
      </c>
      <c r="T549">
        <f t="shared" si="56"/>
        <v>4127.95</v>
      </c>
      <c r="U549">
        <f t="shared" si="57"/>
        <v>0</v>
      </c>
      <c r="V549">
        <f t="shared" si="58"/>
        <v>4106.34</v>
      </c>
      <c r="W549">
        <f t="shared" si="59"/>
        <v>0</v>
      </c>
      <c r="X549">
        <f t="shared" si="60"/>
        <v>2</v>
      </c>
      <c r="Y549" cm="1">
        <f t="array" ref="Y549">_xlfn.IFS(H549=0.1,1,H549=0.15,1,H549=0.05,1,H549=0,0)</f>
        <v>0</v>
      </c>
      <c r="Z549">
        <f t="shared" si="61"/>
        <v>0</v>
      </c>
      <c r="AA549">
        <f t="shared" si="62"/>
        <v>2023</v>
      </c>
    </row>
    <row r="550" spans="1:27" x14ac:dyDescent="0.3">
      <c r="A550" s="2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L550" t="s">
        <v>59</v>
      </c>
      <c r="M550">
        <v>0</v>
      </c>
      <c r="N550" t="s">
        <v>1132</v>
      </c>
      <c r="O550" t="s">
        <v>1133</v>
      </c>
      <c r="P550">
        <v>25.27</v>
      </c>
      <c r="Q550" s="2">
        <v>45388</v>
      </c>
      <c r="R550" s="2">
        <v>45398</v>
      </c>
      <c r="S550" t="s">
        <v>50</v>
      </c>
      <c r="T550">
        <f t="shared" si="56"/>
        <v>3403.085</v>
      </c>
      <c r="U550">
        <f t="shared" si="57"/>
        <v>15</v>
      </c>
      <c r="V550">
        <f t="shared" si="58"/>
        <v>3973.8999999999996</v>
      </c>
      <c r="W550">
        <f t="shared" si="59"/>
        <v>596.08499999999958</v>
      </c>
      <c r="X550">
        <f t="shared" si="60"/>
        <v>10</v>
      </c>
      <c r="Y550" cm="1">
        <f t="array" ref="Y550">_xlfn.IFS(H550=0.1,1,H550=0.15,1,H550=0.05,1,H550=0,0)</f>
        <v>1</v>
      </c>
      <c r="Z550">
        <f t="shared" si="61"/>
        <v>10</v>
      </c>
      <c r="AA550">
        <f t="shared" si="62"/>
        <v>2024</v>
      </c>
    </row>
    <row r="551" spans="1:27" x14ac:dyDescent="0.3">
      <c r="A551" s="2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62</v>
      </c>
      <c r="L551" t="s">
        <v>25</v>
      </c>
      <c r="M551">
        <v>0</v>
      </c>
      <c r="N551" t="s">
        <v>1134</v>
      </c>
      <c r="O551" t="s">
        <v>1135</v>
      </c>
      <c r="P551">
        <v>28.65</v>
      </c>
      <c r="Q551" s="2">
        <v>45705</v>
      </c>
      <c r="R551" s="2">
        <v>45707</v>
      </c>
      <c r="S551" t="s">
        <v>38</v>
      </c>
      <c r="T551">
        <f t="shared" si="56"/>
        <v>225.35</v>
      </c>
      <c r="U551">
        <f t="shared" si="57"/>
        <v>0</v>
      </c>
      <c r="V551">
        <f t="shared" si="58"/>
        <v>196.7</v>
      </c>
      <c r="W551">
        <f t="shared" si="59"/>
        <v>0</v>
      </c>
      <c r="X551">
        <f t="shared" si="60"/>
        <v>2</v>
      </c>
      <c r="Y551" cm="1">
        <f t="array" ref="Y551">_xlfn.IFS(H551=0.1,1,H551=0.15,1,H551=0.05,1,H551=0,0)</f>
        <v>0</v>
      </c>
      <c r="Z551">
        <f t="shared" si="61"/>
        <v>0</v>
      </c>
      <c r="AA551">
        <f t="shared" si="62"/>
        <v>2025</v>
      </c>
    </row>
    <row r="552" spans="1:27" x14ac:dyDescent="0.3">
      <c r="A552" s="2">
        <v>44934</v>
      </c>
      <c r="B552" t="s">
        <v>29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62</v>
      </c>
      <c r="L552" t="s">
        <v>59</v>
      </c>
      <c r="M552">
        <v>0</v>
      </c>
      <c r="N552" t="s">
        <v>1136</v>
      </c>
      <c r="O552" t="s">
        <v>1137</v>
      </c>
      <c r="P552">
        <v>39.4</v>
      </c>
      <c r="Q552" s="2">
        <v>44934</v>
      </c>
      <c r="R552" s="2">
        <v>44937</v>
      </c>
      <c r="S552" t="s">
        <v>38</v>
      </c>
      <c r="T552">
        <f t="shared" si="56"/>
        <v>3529.42</v>
      </c>
      <c r="U552">
        <f t="shared" si="57"/>
        <v>0</v>
      </c>
      <c r="V552">
        <f t="shared" si="58"/>
        <v>3490.0199999999995</v>
      </c>
      <c r="W552">
        <f t="shared" si="59"/>
        <v>0</v>
      </c>
      <c r="X552">
        <f t="shared" si="60"/>
        <v>3</v>
      </c>
      <c r="Y552" cm="1">
        <f t="array" ref="Y552">_xlfn.IFS(H552=0.1,1,H552=0.15,1,H552=0.05,1,H552=0,0)</f>
        <v>0</v>
      </c>
      <c r="Z552">
        <f t="shared" si="61"/>
        <v>0</v>
      </c>
      <c r="AA552">
        <f t="shared" si="62"/>
        <v>2023</v>
      </c>
    </row>
    <row r="553" spans="1:27" x14ac:dyDescent="0.3">
      <c r="A553" s="2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62</v>
      </c>
      <c r="L553" t="s">
        <v>25</v>
      </c>
      <c r="M553">
        <v>0</v>
      </c>
      <c r="N553" t="s">
        <v>1138</v>
      </c>
      <c r="O553" t="s">
        <v>1139</v>
      </c>
      <c r="P553">
        <v>48.33</v>
      </c>
      <c r="Q553" s="2">
        <v>45281</v>
      </c>
      <c r="R553" s="2">
        <v>45291</v>
      </c>
      <c r="S553" t="s">
        <v>38</v>
      </c>
      <c r="T553">
        <f t="shared" si="56"/>
        <v>597.23050000000001</v>
      </c>
      <c r="U553">
        <f t="shared" si="57"/>
        <v>5</v>
      </c>
      <c r="V553">
        <f t="shared" si="58"/>
        <v>577.79</v>
      </c>
      <c r="W553">
        <f t="shared" si="59"/>
        <v>28.889499999999998</v>
      </c>
      <c r="X553">
        <f t="shared" si="60"/>
        <v>10</v>
      </c>
      <c r="Y553" cm="1">
        <f t="array" ref="Y553">_xlfn.IFS(H553=0.1,1,H553=0.15,1,H553=0.05,1,H553=0,0)</f>
        <v>1</v>
      </c>
      <c r="Z553">
        <f t="shared" si="61"/>
        <v>19</v>
      </c>
      <c r="AA553">
        <f t="shared" si="62"/>
        <v>2023</v>
      </c>
    </row>
    <row r="554" spans="1:27" x14ac:dyDescent="0.3">
      <c r="A554" s="2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68</v>
      </c>
      <c r="J554">
        <v>4978.6650000000009</v>
      </c>
      <c r="K554" t="s">
        <v>34</v>
      </c>
      <c r="L554" t="s">
        <v>41</v>
      </c>
      <c r="M554">
        <v>0</v>
      </c>
      <c r="N554" t="s">
        <v>1140</v>
      </c>
      <c r="O554" t="s">
        <v>1141</v>
      </c>
      <c r="P554">
        <v>16.899999999999999</v>
      </c>
      <c r="Q554" s="2">
        <v>45486</v>
      </c>
      <c r="R554" s="2">
        <v>45488</v>
      </c>
      <c r="S554" t="s">
        <v>44</v>
      </c>
      <c r="T554">
        <f t="shared" si="56"/>
        <v>4995.5650000000005</v>
      </c>
      <c r="U554">
        <f t="shared" si="57"/>
        <v>10</v>
      </c>
      <c r="V554">
        <f t="shared" si="58"/>
        <v>5531.85</v>
      </c>
      <c r="W554">
        <f t="shared" si="59"/>
        <v>553.18499999999949</v>
      </c>
      <c r="X554">
        <f t="shared" si="60"/>
        <v>2</v>
      </c>
      <c r="Y554" cm="1">
        <f t="array" ref="Y554">_xlfn.IFS(H554=0.1,1,H554=0.15,1,H554=0.05,1,H554=0,0)</f>
        <v>1</v>
      </c>
      <c r="Z554">
        <f t="shared" si="61"/>
        <v>15</v>
      </c>
      <c r="AA554">
        <f t="shared" si="62"/>
        <v>2024</v>
      </c>
    </row>
    <row r="555" spans="1:27" x14ac:dyDescent="0.3">
      <c r="A555" s="2">
        <v>45374</v>
      </c>
      <c r="B555" t="s">
        <v>71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65</v>
      </c>
      <c r="L555" t="s">
        <v>35</v>
      </c>
      <c r="M555">
        <v>0</v>
      </c>
      <c r="N555" t="s">
        <v>1142</v>
      </c>
      <c r="O555" t="s">
        <v>1143</v>
      </c>
      <c r="P555">
        <v>10.77</v>
      </c>
      <c r="Q555" s="2">
        <v>45374</v>
      </c>
      <c r="R555" s="2">
        <v>45383</v>
      </c>
      <c r="S555" t="s">
        <v>74</v>
      </c>
      <c r="T555">
        <f t="shared" si="56"/>
        <v>201.37400000000002</v>
      </c>
      <c r="U555">
        <f t="shared" si="57"/>
        <v>15</v>
      </c>
      <c r="V555">
        <f t="shared" si="58"/>
        <v>224.24</v>
      </c>
      <c r="W555">
        <f t="shared" si="59"/>
        <v>33.635999999999996</v>
      </c>
      <c r="X555">
        <f t="shared" si="60"/>
        <v>9</v>
      </c>
      <c r="Y555" cm="1">
        <f t="array" ref="Y555">_xlfn.IFS(H555=0.1,1,H555=0.15,1,H555=0.05,1,H555=0,0)</f>
        <v>1</v>
      </c>
      <c r="Z555">
        <f t="shared" si="61"/>
        <v>4</v>
      </c>
      <c r="AA555">
        <f t="shared" si="62"/>
        <v>2024</v>
      </c>
    </row>
    <row r="556" spans="1:27" x14ac:dyDescent="0.3">
      <c r="A556" s="2">
        <v>45370</v>
      </c>
      <c r="B556" t="s">
        <v>71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62</v>
      </c>
      <c r="L556" t="s">
        <v>59</v>
      </c>
      <c r="M556">
        <v>0</v>
      </c>
      <c r="N556" t="s">
        <v>1144</v>
      </c>
      <c r="O556" t="s">
        <v>1145</v>
      </c>
      <c r="P556">
        <v>13.28</v>
      </c>
      <c r="Q556" s="2">
        <v>45370</v>
      </c>
      <c r="R556" s="2">
        <v>45376</v>
      </c>
      <c r="S556" t="s">
        <v>74</v>
      </c>
      <c r="T556">
        <f t="shared" si="56"/>
        <v>122.83</v>
      </c>
      <c r="U556">
        <f t="shared" si="57"/>
        <v>0</v>
      </c>
      <c r="V556">
        <f t="shared" si="58"/>
        <v>109.55</v>
      </c>
      <c r="W556">
        <f t="shared" si="59"/>
        <v>0</v>
      </c>
      <c r="X556">
        <f t="shared" si="60"/>
        <v>6</v>
      </c>
      <c r="Y556" cm="1">
        <f t="array" ref="Y556">_xlfn.IFS(H556=0.1,1,H556=0.15,1,H556=0.05,1,H556=0,0)</f>
        <v>0</v>
      </c>
      <c r="Z556">
        <f t="shared" si="61"/>
        <v>0</v>
      </c>
      <c r="AA556">
        <f t="shared" si="62"/>
        <v>2024</v>
      </c>
    </row>
    <row r="557" spans="1:27" x14ac:dyDescent="0.3">
      <c r="A557" s="2">
        <v>45797</v>
      </c>
      <c r="B557" t="s">
        <v>45</v>
      </c>
      <c r="C557" t="s">
        <v>81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65</v>
      </c>
      <c r="L557" t="s">
        <v>25</v>
      </c>
      <c r="M557">
        <v>0</v>
      </c>
      <c r="N557" t="s">
        <v>1146</v>
      </c>
      <c r="O557" t="s">
        <v>827</v>
      </c>
      <c r="P557">
        <v>33.4</v>
      </c>
      <c r="Q557" s="2">
        <v>45797</v>
      </c>
      <c r="R557" s="2">
        <v>45806</v>
      </c>
      <c r="S557" t="s">
        <v>50</v>
      </c>
      <c r="T557">
        <f t="shared" si="56"/>
        <v>3461.05</v>
      </c>
      <c r="U557">
        <f t="shared" si="57"/>
        <v>0</v>
      </c>
      <c r="V557">
        <f t="shared" si="58"/>
        <v>3427.65</v>
      </c>
      <c r="W557">
        <f t="shared" si="59"/>
        <v>0</v>
      </c>
      <c r="X557">
        <f t="shared" si="60"/>
        <v>9</v>
      </c>
      <c r="Y557" cm="1">
        <f t="array" ref="Y557">_xlfn.IFS(H557=0.1,1,H557=0.15,1,H557=0.05,1,H557=0,0)</f>
        <v>0</v>
      </c>
      <c r="Z557">
        <f t="shared" si="61"/>
        <v>0</v>
      </c>
      <c r="AA557">
        <f t="shared" si="62"/>
        <v>2025</v>
      </c>
    </row>
    <row r="558" spans="1:27" x14ac:dyDescent="0.3">
      <c r="A558" s="2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62</v>
      </c>
      <c r="L558" t="s">
        <v>41</v>
      </c>
      <c r="M558">
        <v>0</v>
      </c>
      <c r="N558" t="s">
        <v>1147</v>
      </c>
      <c r="O558" t="s">
        <v>1148</v>
      </c>
      <c r="P558">
        <v>34.32</v>
      </c>
      <c r="Q558" s="2">
        <v>45676</v>
      </c>
      <c r="R558" s="2">
        <v>45683</v>
      </c>
      <c r="S558" t="s">
        <v>38</v>
      </c>
      <c r="T558">
        <f t="shared" si="56"/>
        <v>6493.63</v>
      </c>
      <c r="U558">
        <f t="shared" si="57"/>
        <v>0</v>
      </c>
      <c r="V558">
        <f t="shared" si="58"/>
        <v>6459.31</v>
      </c>
      <c r="W558">
        <f t="shared" si="59"/>
        <v>0</v>
      </c>
      <c r="X558">
        <f t="shared" si="60"/>
        <v>7</v>
      </c>
      <c r="Y558" cm="1">
        <f t="array" ref="Y558">_xlfn.IFS(H558=0.1,1,H558=0.15,1,H558=0.05,1,H558=0,0)</f>
        <v>0</v>
      </c>
      <c r="Z558">
        <f t="shared" si="61"/>
        <v>0</v>
      </c>
      <c r="AA558">
        <f t="shared" si="62"/>
        <v>2025</v>
      </c>
    </row>
    <row r="559" spans="1:27" x14ac:dyDescent="0.3">
      <c r="A559" s="2">
        <v>45074</v>
      </c>
      <c r="B559" t="s">
        <v>29</v>
      </c>
      <c r="C559" t="s">
        <v>132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62</v>
      </c>
      <c r="L559" t="s">
        <v>59</v>
      </c>
      <c r="M559">
        <v>0</v>
      </c>
      <c r="N559" t="s">
        <v>1149</v>
      </c>
      <c r="O559" t="s">
        <v>1150</v>
      </c>
      <c r="P559">
        <v>8.66</v>
      </c>
      <c r="Q559" s="2">
        <v>45074</v>
      </c>
      <c r="R559" s="2">
        <v>45078</v>
      </c>
      <c r="S559" t="s">
        <v>38</v>
      </c>
      <c r="T559">
        <f t="shared" si="56"/>
        <v>8488.6849999999995</v>
      </c>
      <c r="U559">
        <f t="shared" si="57"/>
        <v>10</v>
      </c>
      <c r="V559">
        <f t="shared" si="58"/>
        <v>9422.25</v>
      </c>
      <c r="W559">
        <f t="shared" si="59"/>
        <v>942.22500000000036</v>
      </c>
      <c r="X559">
        <f t="shared" si="60"/>
        <v>4</v>
      </c>
      <c r="Y559" cm="1">
        <f t="array" ref="Y559">_xlfn.IFS(H559=0.1,1,H559=0.15,1,H559=0.05,1,H559=0,0)</f>
        <v>1</v>
      </c>
      <c r="Z559">
        <f t="shared" si="61"/>
        <v>17</v>
      </c>
      <c r="AA559">
        <f t="shared" si="62"/>
        <v>2023</v>
      </c>
    </row>
    <row r="560" spans="1:27" x14ac:dyDescent="0.3">
      <c r="A560" s="2">
        <v>45227</v>
      </c>
      <c r="B560" t="s">
        <v>19</v>
      </c>
      <c r="C560" t="s">
        <v>132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1151</v>
      </c>
      <c r="O560" t="s">
        <v>1152</v>
      </c>
      <c r="P560">
        <v>6.04</v>
      </c>
      <c r="Q560" s="2">
        <v>45227</v>
      </c>
      <c r="R560" s="2">
        <v>45233</v>
      </c>
      <c r="S560" t="s">
        <v>28</v>
      </c>
      <c r="T560">
        <f t="shared" si="56"/>
        <v>1052.1264999999999</v>
      </c>
      <c r="U560">
        <f t="shared" si="57"/>
        <v>15</v>
      </c>
      <c r="V560">
        <f t="shared" si="58"/>
        <v>1230.69</v>
      </c>
      <c r="W560">
        <f t="shared" si="59"/>
        <v>184.60350000000017</v>
      </c>
      <c r="X560">
        <f t="shared" si="60"/>
        <v>6</v>
      </c>
      <c r="Y560" cm="1">
        <f t="array" ref="Y560">_xlfn.IFS(H560=0.1,1,H560=0.15,1,H560=0.05,1,H560=0,0)</f>
        <v>1</v>
      </c>
      <c r="Z560">
        <f t="shared" si="61"/>
        <v>3</v>
      </c>
      <c r="AA560">
        <f t="shared" si="62"/>
        <v>2023</v>
      </c>
    </row>
    <row r="561" spans="1:27" x14ac:dyDescent="0.3">
      <c r="A561" s="2">
        <v>45255</v>
      </c>
      <c r="B561" t="s">
        <v>71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62</v>
      </c>
      <c r="L561" t="s">
        <v>59</v>
      </c>
      <c r="M561">
        <v>0</v>
      </c>
      <c r="N561" t="s">
        <v>1153</v>
      </c>
      <c r="O561" t="s">
        <v>1154</v>
      </c>
      <c r="P561">
        <v>37.659999999999997</v>
      </c>
      <c r="Q561" s="2">
        <v>45255</v>
      </c>
      <c r="R561" s="2">
        <v>45262</v>
      </c>
      <c r="S561" t="s">
        <v>74</v>
      </c>
      <c r="T561">
        <f t="shared" si="56"/>
        <v>533.80999999999995</v>
      </c>
      <c r="U561">
        <f t="shared" si="57"/>
        <v>0</v>
      </c>
      <c r="V561">
        <f t="shared" si="58"/>
        <v>496.15000000000003</v>
      </c>
      <c r="W561">
        <f t="shared" si="59"/>
        <v>0</v>
      </c>
      <c r="X561">
        <f t="shared" si="60"/>
        <v>7</v>
      </c>
      <c r="Y561" cm="1">
        <f t="array" ref="Y561">_xlfn.IFS(H561=0.1,1,H561=0.15,1,H561=0.05,1,H561=0,0)</f>
        <v>0</v>
      </c>
      <c r="Z561">
        <f t="shared" si="61"/>
        <v>0</v>
      </c>
      <c r="AA561">
        <f t="shared" si="62"/>
        <v>2023</v>
      </c>
    </row>
    <row r="562" spans="1:27" x14ac:dyDescent="0.3">
      <c r="A562" s="2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1155</v>
      </c>
      <c r="O562" t="s">
        <v>1156</v>
      </c>
      <c r="P562">
        <v>46.02</v>
      </c>
      <c r="Q562" s="2">
        <v>45613</v>
      </c>
      <c r="R562" s="2">
        <v>45620</v>
      </c>
      <c r="S562" t="s">
        <v>38</v>
      </c>
      <c r="T562">
        <f t="shared" si="56"/>
        <v>4575.6400000000003</v>
      </c>
      <c r="U562">
        <f t="shared" si="57"/>
        <v>0</v>
      </c>
      <c r="V562">
        <f t="shared" si="58"/>
        <v>4528.62</v>
      </c>
      <c r="W562">
        <f t="shared" si="59"/>
        <v>0</v>
      </c>
      <c r="X562">
        <f t="shared" si="60"/>
        <v>7</v>
      </c>
      <c r="Y562" cm="1">
        <f t="array" ref="Y562">_xlfn.IFS(H562=0.1,1,H562=0.15,1,H562=0.05,1,H562=0,0)</f>
        <v>0</v>
      </c>
      <c r="Z562">
        <f t="shared" si="61"/>
        <v>0</v>
      </c>
      <c r="AA562">
        <f t="shared" si="62"/>
        <v>2024</v>
      </c>
    </row>
    <row r="563" spans="1:27" x14ac:dyDescent="0.3">
      <c r="A563" s="2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68</v>
      </c>
      <c r="J563">
        <v>2244.2294999999999</v>
      </c>
      <c r="K563" t="s">
        <v>58</v>
      </c>
      <c r="L563" t="s">
        <v>41</v>
      </c>
      <c r="M563">
        <v>0</v>
      </c>
      <c r="N563" t="s">
        <v>1157</v>
      </c>
      <c r="O563" t="s">
        <v>1158</v>
      </c>
      <c r="P563">
        <v>27.1</v>
      </c>
      <c r="Q563" s="2">
        <v>45315</v>
      </c>
      <c r="R563" s="2">
        <v>45320</v>
      </c>
      <c r="S563" t="s">
        <v>50</v>
      </c>
      <c r="T563">
        <f t="shared" si="56"/>
        <v>2271.3294999999998</v>
      </c>
      <c r="U563">
        <f t="shared" si="57"/>
        <v>15</v>
      </c>
      <c r="V563">
        <f t="shared" si="58"/>
        <v>2640.27</v>
      </c>
      <c r="W563">
        <f t="shared" si="59"/>
        <v>396.04050000000007</v>
      </c>
      <c r="X563">
        <f t="shared" si="60"/>
        <v>5</v>
      </c>
      <c r="Y563" cm="1">
        <f t="array" ref="Y563">_xlfn.IFS(H563=0.1,1,H563=0.15,1,H563=0.05,1,H563=0,0)</f>
        <v>1</v>
      </c>
      <c r="Z563">
        <f t="shared" si="61"/>
        <v>17</v>
      </c>
      <c r="AA563">
        <f t="shared" si="62"/>
        <v>2024</v>
      </c>
    </row>
    <row r="564" spans="1:27" x14ac:dyDescent="0.3">
      <c r="A564" s="2">
        <v>45096</v>
      </c>
      <c r="B564" t="s">
        <v>39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1159</v>
      </c>
      <c r="O564" t="s">
        <v>1160</v>
      </c>
      <c r="P564">
        <v>38.85</v>
      </c>
      <c r="Q564" s="2">
        <v>45096</v>
      </c>
      <c r="R564" s="2">
        <v>45106</v>
      </c>
      <c r="S564" t="s">
        <v>44</v>
      </c>
      <c r="T564">
        <f t="shared" si="56"/>
        <v>1846.4005</v>
      </c>
      <c r="U564">
        <f t="shared" si="57"/>
        <v>15</v>
      </c>
      <c r="V564">
        <f t="shared" si="58"/>
        <v>2126.5300000000002</v>
      </c>
      <c r="W564">
        <f t="shared" si="59"/>
        <v>318.97950000000014</v>
      </c>
      <c r="X564">
        <f t="shared" si="60"/>
        <v>10</v>
      </c>
      <c r="Y564" cm="1">
        <f t="array" ref="Y564">_xlfn.IFS(H564=0.1,1,H564=0.15,1,H564=0.05,1,H564=0,0)</f>
        <v>1</v>
      </c>
      <c r="Z564">
        <f t="shared" si="61"/>
        <v>7</v>
      </c>
      <c r="AA564">
        <f t="shared" si="62"/>
        <v>2023</v>
      </c>
    </row>
    <row r="565" spans="1:27" x14ac:dyDescent="0.3">
      <c r="A565" s="2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L565" t="s">
        <v>59</v>
      </c>
      <c r="M565">
        <v>1</v>
      </c>
      <c r="N565" t="s">
        <v>1161</v>
      </c>
      <c r="O565" t="s">
        <v>1162</v>
      </c>
      <c r="P565">
        <v>12.97</v>
      </c>
      <c r="Q565" s="2">
        <v>45670</v>
      </c>
      <c r="R565" s="2">
        <v>45675</v>
      </c>
      <c r="S565" t="s">
        <v>28</v>
      </c>
      <c r="T565">
        <f t="shared" si="56"/>
        <v>4497.72</v>
      </c>
      <c r="U565">
        <f t="shared" si="57"/>
        <v>0</v>
      </c>
      <c r="V565">
        <f t="shared" si="58"/>
        <v>4483.75</v>
      </c>
      <c r="W565">
        <f t="shared" si="59"/>
        <v>0</v>
      </c>
      <c r="X565">
        <f t="shared" si="60"/>
        <v>5</v>
      </c>
      <c r="Y565" cm="1">
        <f t="array" ref="Y565">_xlfn.IFS(H565=0.1,1,H565=0.15,1,H565=0.05,1,H565=0,0)</f>
        <v>0</v>
      </c>
      <c r="Z565">
        <f t="shared" si="61"/>
        <v>0</v>
      </c>
      <c r="AA565">
        <f t="shared" si="62"/>
        <v>2025</v>
      </c>
    </row>
    <row r="566" spans="1:27" x14ac:dyDescent="0.3">
      <c r="A566" s="2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1163</v>
      </c>
      <c r="O566" t="s">
        <v>1164</v>
      </c>
      <c r="P566">
        <v>35.26</v>
      </c>
      <c r="Q566" s="2">
        <v>45315</v>
      </c>
      <c r="R566" s="2">
        <v>45323</v>
      </c>
      <c r="S566" t="s">
        <v>28</v>
      </c>
      <c r="T566">
        <f t="shared" si="56"/>
        <v>682.97199999999998</v>
      </c>
      <c r="U566">
        <f t="shared" si="57"/>
        <v>10</v>
      </c>
      <c r="V566">
        <f t="shared" si="58"/>
        <v>719.68</v>
      </c>
      <c r="W566">
        <f t="shared" si="59"/>
        <v>71.967999999999961</v>
      </c>
      <c r="X566">
        <f t="shared" si="60"/>
        <v>8</v>
      </c>
      <c r="Y566" cm="1">
        <f t="array" ref="Y566">_xlfn.IFS(H566=0.1,1,H566=0.15,1,H566=0.05,1,H566=0,0)</f>
        <v>1</v>
      </c>
      <c r="Z566">
        <f t="shared" si="61"/>
        <v>4</v>
      </c>
      <c r="AA566">
        <f t="shared" si="62"/>
        <v>2024</v>
      </c>
    </row>
    <row r="567" spans="1:27" x14ac:dyDescent="0.3">
      <c r="A567" s="2">
        <v>45663</v>
      </c>
      <c r="B567" t="s">
        <v>29</v>
      </c>
      <c r="C567" t="s">
        <v>132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68</v>
      </c>
      <c r="J567">
        <v>528</v>
      </c>
      <c r="K567" t="s">
        <v>34</v>
      </c>
      <c r="L567" t="s">
        <v>35</v>
      </c>
      <c r="M567">
        <v>0</v>
      </c>
      <c r="N567" t="s">
        <v>1165</v>
      </c>
      <c r="O567" t="s">
        <v>1166</v>
      </c>
      <c r="P567">
        <v>26.73</v>
      </c>
      <c r="Q567" s="2">
        <v>45663</v>
      </c>
      <c r="R567" s="2">
        <v>45671</v>
      </c>
      <c r="S567" t="s">
        <v>38</v>
      </c>
      <c r="T567">
        <f t="shared" si="56"/>
        <v>554.73</v>
      </c>
      <c r="U567">
        <f t="shared" si="57"/>
        <v>0</v>
      </c>
      <c r="V567">
        <f t="shared" si="58"/>
        <v>528</v>
      </c>
      <c r="W567">
        <f t="shared" si="59"/>
        <v>0</v>
      </c>
      <c r="X567">
        <f t="shared" si="60"/>
        <v>8</v>
      </c>
      <c r="Y567" cm="1">
        <f t="array" ref="Y567">_xlfn.IFS(H567=0.1,1,H567=0.15,1,H567=0.05,1,H567=0,0)</f>
        <v>0</v>
      </c>
      <c r="Z567">
        <f t="shared" si="61"/>
        <v>0</v>
      </c>
      <c r="AA567">
        <f t="shared" si="62"/>
        <v>2025</v>
      </c>
    </row>
    <row r="568" spans="1:27" x14ac:dyDescent="0.3">
      <c r="A568" s="2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65</v>
      </c>
      <c r="L568" t="s">
        <v>41</v>
      </c>
      <c r="M568">
        <v>0</v>
      </c>
      <c r="N568" t="s">
        <v>1167</v>
      </c>
      <c r="O568" t="s">
        <v>1168</v>
      </c>
      <c r="P568">
        <v>39.92</v>
      </c>
      <c r="Q568" s="2">
        <v>45659</v>
      </c>
      <c r="R568" s="2">
        <v>45666</v>
      </c>
      <c r="S568" t="s">
        <v>50</v>
      </c>
      <c r="T568">
        <f t="shared" si="56"/>
        <v>1575.0060000000001</v>
      </c>
      <c r="U568">
        <f t="shared" si="57"/>
        <v>5</v>
      </c>
      <c r="V568">
        <f t="shared" si="58"/>
        <v>1615.88</v>
      </c>
      <c r="W568">
        <f t="shared" si="59"/>
        <v>80.794000000000096</v>
      </c>
      <c r="X568">
        <f t="shared" si="60"/>
        <v>7</v>
      </c>
      <c r="Y568" cm="1">
        <f t="array" ref="Y568">_xlfn.IFS(H568=0.1,1,H568=0.15,1,H568=0.05,1,H568=0,0)</f>
        <v>1</v>
      </c>
      <c r="Z568">
        <f t="shared" si="61"/>
        <v>4</v>
      </c>
      <c r="AA568">
        <f t="shared" si="62"/>
        <v>2025</v>
      </c>
    </row>
    <row r="569" spans="1:27" x14ac:dyDescent="0.3">
      <c r="A569" s="2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L569" t="s">
        <v>59</v>
      </c>
      <c r="M569">
        <v>0</v>
      </c>
      <c r="N569" t="s">
        <v>1169</v>
      </c>
      <c r="O569" t="s">
        <v>1170</v>
      </c>
      <c r="P569">
        <v>32.119999999999997</v>
      </c>
      <c r="Q569" s="2">
        <v>44979</v>
      </c>
      <c r="R569" s="2">
        <v>44988</v>
      </c>
      <c r="S569" t="s">
        <v>44</v>
      </c>
      <c r="T569">
        <f t="shared" si="56"/>
        <v>341.57600000000002</v>
      </c>
      <c r="U569">
        <f t="shared" si="57"/>
        <v>10</v>
      </c>
      <c r="V569">
        <f t="shared" si="58"/>
        <v>343.84</v>
      </c>
      <c r="W569">
        <f t="shared" si="59"/>
        <v>34.383999999999958</v>
      </c>
      <c r="X569">
        <f t="shared" si="60"/>
        <v>9</v>
      </c>
      <c r="Y569" cm="1">
        <f t="array" ref="Y569">_xlfn.IFS(H569=0.1,1,H569=0.15,1,H569=0.05,1,H569=0,0)</f>
        <v>1</v>
      </c>
      <c r="Z569">
        <f t="shared" si="61"/>
        <v>4</v>
      </c>
      <c r="AA569">
        <f t="shared" si="62"/>
        <v>2023</v>
      </c>
    </row>
    <row r="570" spans="1:27" x14ac:dyDescent="0.3">
      <c r="A570" s="2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62</v>
      </c>
      <c r="L570" t="s">
        <v>41</v>
      </c>
      <c r="M570">
        <v>0</v>
      </c>
      <c r="N570" t="s">
        <v>1171</v>
      </c>
      <c r="O570" t="s">
        <v>1172</v>
      </c>
      <c r="P570">
        <v>26.31</v>
      </c>
      <c r="Q570" s="2">
        <v>45694</v>
      </c>
      <c r="R570" s="2">
        <v>45704</v>
      </c>
      <c r="S570" t="s">
        <v>28</v>
      </c>
      <c r="T570">
        <f t="shared" si="56"/>
        <v>194.59200000000001</v>
      </c>
      <c r="U570">
        <f t="shared" si="57"/>
        <v>10</v>
      </c>
      <c r="V570">
        <f t="shared" si="58"/>
        <v>186.98</v>
      </c>
      <c r="W570">
        <f t="shared" si="59"/>
        <v>18.697999999999979</v>
      </c>
      <c r="X570">
        <f t="shared" si="60"/>
        <v>10</v>
      </c>
      <c r="Y570" cm="1">
        <f t="array" ref="Y570">_xlfn.IFS(H570=0.1,1,H570=0.15,1,H570=0.05,1,H570=0,0)</f>
        <v>1</v>
      </c>
      <c r="Z570">
        <f t="shared" si="61"/>
        <v>2</v>
      </c>
      <c r="AA570">
        <f t="shared" si="62"/>
        <v>2025</v>
      </c>
    </row>
    <row r="571" spans="1:27" x14ac:dyDescent="0.3">
      <c r="A571" s="2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68</v>
      </c>
      <c r="J571">
        <v>1507.8305</v>
      </c>
      <c r="K571" t="s">
        <v>58</v>
      </c>
      <c r="L571" t="s">
        <v>41</v>
      </c>
      <c r="M571">
        <v>0</v>
      </c>
      <c r="N571" t="s">
        <v>1173</v>
      </c>
      <c r="O571" t="s">
        <v>885</v>
      </c>
      <c r="P571">
        <v>11.91</v>
      </c>
      <c r="Q571" s="2">
        <v>45561</v>
      </c>
      <c r="R571" s="2">
        <v>45565</v>
      </c>
      <c r="S571" t="s">
        <v>28</v>
      </c>
      <c r="T571">
        <f t="shared" si="56"/>
        <v>1519.7405000000001</v>
      </c>
      <c r="U571">
        <f t="shared" si="57"/>
        <v>5</v>
      </c>
      <c r="V571">
        <f t="shared" si="58"/>
        <v>1587.1899999999998</v>
      </c>
      <c r="W571">
        <f t="shared" si="59"/>
        <v>79.359499999999798</v>
      </c>
      <c r="X571">
        <f t="shared" si="60"/>
        <v>4</v>
      </c>
      <c r="Y571" cm="1">
        <f t="array" ref="Y571">_xlfn.IFS(H571=0.1,1,H571=0.15,1,H571=0.05,1,H571=0,0)</f>
        <v>1</v>
      </c>
      <c r="Z571">
        <f t="shared" si="61"/>
        <v>11</v>
      </c>
      <c r="AA571">
        <f t="shared" si="62"/>
        <v>2024</v>
      </c>
    </row>
    <row r="572" spans="1:27" x14ac:dyDescent="0.3">
      <c r="A572" s="2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65</v>
      </c>
      <c r="L572" t="s">
        <v>25</v>
      </c>
      <c r="M572">
        <v>0</v>
      </c>
      <c r="N572" t="s">
        <v>1174</v>
      </c>
      <c r="O572" t="s">
        <v>1175</v>
      </c>
      <c r="P572">
        <v>31.76</v>
      </c>
      <c r="Q572" s="2">
        <v>45744</v>
      </c>
      <c r="R572" s="2">
        <v>45748</v>
      </c>
      <c r="S572" t="s">
        <v>44</v>
      </c>
      <c r="T572">
        <f t="shared" si="56"/>
        <v>9989.9</v>
      </c>
      <c r="U572">
        <f t="shared" si="57"/>
        <v>0</v>
      </c>
      <c r="V572">
        <f t="shared" si="58"/>
        <v>9958.14</v>
      </c>
      <c r="W572">
        <f t="shared" si="59"/>
        <v>0</v>
      </c>
      <c r="X572">
        <f t="shared" si="60"/>
        <v>4</v>
      </c>
      <c r="Y572" cm="1">
        <f t="array" ref="Y572">_xlfn.IFS(H572=0.1,1,H572=0.15,1,H572=0.05,1,H572=0,0)</f>
        <v>0</v>
      </c>
      <c r="Z572">
        <f t="shared" si="61"/>
        <v>0</v>
      </c>
      <c r="AA572">
        <f t="shared" si="62"/>
        <v>2025</v>
      </c>
    </row>
    <row r="573" spans="1:27" x14ac:dyDescent="0.3">
      <c r="A573" s="2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62</v>
      </c>
      <c r="L573" t="s">
        <v>25</v>
      </c>
      <c r="M573">
        <v>0</v>
      </c>
      <c r="N573" t="s">
        <v>1176</v>
      </c>
      <c r="O573" t="s">
        <v>1177</v>
      </c>
      <c r="P573">
        <v>8.75</v>
      </c>
      <c r="Q573" s="2">
        <v>45108</v>
      </c>
      <c r="R573" s="2">
        <v>45116</v>
      </c>
      <c r="S573" t="s">
        <v>28</v>
      </c>
      <c r="T573">
        <f t="shared" si="56"/>
        <v>1960.7149999999999</v>
      </c>
      <c r="U573">
        <f t="shared" si="57"/>
        <v>5</v>
      </c>
      <c r="V573">
        <f t="shared" si="58"/>
        <v>2054.7000000000003</v>
      </c>
      <c r="W573">
        <f t="shared" si="59"/>
        <v>102.73500000000035</v>
      </c>
      <c r="X573">
        <f t="shared" si="60"/>
        <v>8</v>
      </c>
      <c r="Y573" cm="1">
        <f t="array" ref="Y573">_xlfn.IFS(H573=0.1,1,H573=0.15,1,H573=0.05,1,H573=0,0)</f>
        <v>1</v>
      </c>
      <c r="Z573">
        <f t="shared" si="61"/>
        <v>9</v>
      </c>
      <c r="AA573">
        <f t="shared" si="62"/>
        <v>2023</v>
      </c>
    </row>
    <row r="574" spans="1:27" x14ac:dyDescent="0.3">
      <c r="A574" s="2">
        <v>45045</v>
      </c>
      <c r="B574" t="s">
        <v>71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1178</v>
      </c>
      <c r="O574" t="s">
        <v>1179</v>
      </c>
      <c r="P574">
        <v>8.44</v>
      </c>
      <c r="Q574" s="2">
        <v>45045</v>
      </c>
      <c r="R574" s="2">
        <v>45050</v>
      </c>
      <c r="S574" t="s">
        <v>74</v>
      </c>
      <c r="T574">
        <f t="shared" si="56"/>
        <v>1494.8620000000001</v>
      </c>
      <c r="U574">
        <f t="shared" si="57"/>
        <v>10</v>
      </c>
      <c r="V574">
        <f t="shared" si="58"/>
        <v>1651.58</v>
      </c>
      <c r="W574">
        <f t="shared" si="59"/>
        <v>165.1579999999999</v>
      </c>
      <c r="X574">
        <f t="shared" si="60"/>
        <v>5</v>
      </c>
      <c r="Y574" cm="1">
        <f t="array" ref="Y574">_xlfn.IFS(H574=0.1,1,H574=0.15,1,H574=0.05,1,H574=0,0)</f>
        <v>1</v>
      </c>
      <c r="Z574">
        <f t="shared" si="61"/>
        <v>7</v>
      </c>
      <c r="AA574">
        <f t="shared" si="62"/>
        <v>2023</v>
      </c>
    </row>
    <row r="575" spans="1:27" x14ac:dyDescent="0.3">
      <c r="A575" s="2">
        <v>45046</v>
      </c>
      <c r="B575" t="s">
        <v>19</v>
      </c>
      <c r="C575" t="s">
        <v>132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L575" t="s">
        <v>59</v>
      </c>
      <c r="M575">
        <v>0</v>
      </c>
      <c r="N575" t="s">
        <v>1180</v>
      </c>
      <c r="O575" t="s">
        <v>1181</v>
      </c>
      <c r="P575">
        <v>17.12</v>
      </c>
      <c r="Q575" s="2">
        <v>45046</v>
      </c>
      <c r="R575" s="2">
        <v>45052</v>
      </c>
      <c r="S575" t="s">
        <v>28</v>
      </c>
      <c r="T575">
        <f t="shared" si="56"/>
        <v>6298.96</v>
      </c>
      <c r="U575">
        <f t="shared" si="57"/>
        <v>0</v>
      </c>
      <c r="V575">
        <f t="shared" si="58"/>
        <v>6281.84</v>
      </c>
      <c r="W575">
        <f t="shared" si="59"/>
        <v>0</v>
      </c>
      <c r="X575">
        <f t="shared" si="60"/>
        <v>6</v>
      </c>
      <c r="Y575" cm="1">
        <f t="array" ref="Y575">_xlfn.IFS(H575=0.1,1,H575=0.15,1,H575=0.05,1,H575=0,0)</f>
        <v>0</v>
      </c>
      <c r="Z575">
        <f t="shared" si="61"/>
        <v>0</v>
      </c>
      <c r="AA575">
        <f t="shared" si="62"/>
        <v>2023</v>
      </c>
    </row>
    <row r="576" spans="1:27" x14ac:dyDescent="0.3">
      <c r="A576" s="2">
        <v>45365</v>
      </c>
      <c r="B576" t="s">
        <v>71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1182</v>
      </c>
      <c r="O576" t="s">
        <v>1183</v>
      </c>
      <c r="P576">
        <v>38.97</v>
      </c>
      <c r="Q576" s="2">
        <v>45365</v>
      </c>
      <c r="R576" s="2">
        <v>45371</v>
      </c>
      <c r="S576" t="s">
        <v>74</v>
      </c>
      <c r="T576">
        <f t="shared" si="56"/>
        <v>1175.69</v>
      </c>
      <c r="U576">
        <f t="shared" si="57"/>
        <v>0</v>
      </c>
      <c r="V576">
        <f t="shared" si="58"/>
        <v>1136.72</v>
      </c>
      <c r="W576">
        <f t="shared" si="59"/>
        <v>0</v>
      </c>
      <c r="X576">
        <f t="shared" si="60"/>
        <v>6</v>
      </c>
      <c r="Y576" cm="1">
        <f t="array" ref="Y576">_xlfn.IFS(H576=0.1,1,H576=0.15,1,H576=0.05,1,H576=0,0)</f>
        <v>0</v>
      </c>
      <c r="Z576">
        <f t="shared" si="61"/>
        <v>0</v>
      </c>
      <c r="AA576">
        <f t="shared" si="62"/>
        <v>2024</v>
      </c>
    </row>
    <row r="577" spans="1:27" x14ac:dyDescent="0.3">
      <c r="A577" s="2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65</v>
      </c>
      <c r="L577" t="s">
        <v>25</v>
      </c>
      <c r="M577">
        <v>1</v>
      </c>
      <c r="N577" t="s">
        <v>1184</v>
      </c>
      <c r="O577" t="s">
        <v>1185</v>
      </c>
      <c r="P577">
        <v>13.97</v>
      </c>
      <c r="Q577" s="2">
        <v>45104</v>
      </c>
      <c r="R577" s="2">
        <v>45109</v>
      </c>
      <c r="S577" t="s">
        <v>50</v>
      </c>
      <c r="T577">
        <f t="shared" si="56"/>
        <v>1283.8755000000001</v>
      </c>
      <c r="U577">
        <f t="shared" si="57"/>
        <v>15</v>
      </c>
      <c r="V577">
        <f t="shared" si="58"/>
        <v>1492.83</v>
      </c>
      <c r="W577">
        <f t="shared" si="59"/>
        <v>223.92449999999985</v>
      </c>
      <c r="X577">
        <f t="shared" si="60"/>
        <v>5</v>
      </c>
      <c r="Y577" cm="1">
        <f t="array" ref="Y577">_xlfn.IFS(H577=0.1,1,H577=0.15,1,H577=0.05,1,H577=0,0)</f>
        <v>1</v>
      </c>
      <c r="Z577">
        <f t="shared" si="61"/>
        <v>3</v>
      </c>
      <c r="AA577">
        <f t="shared" si="62"/>
        <v>2023</v>
      </c>
    </row>
    <row r="578" spans="1:27" x14ac:dyDescent="0.3">
      <c r="A578" s="2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L578" t="s">
        <v>59</v>
      </c>
      <c r="M578">
        <v>0</v>
      </c>
      <c r="N578" t="s">
        <v>1186</v>
      </c>
      <c r="O578" t="s">
        <v>1187</v>
      </c>
      <c r="P578">
        <v>22.33</v>
      </c>
      <c r="Q578" s="2">
        <v>45392</v>
      </c>
      <c r="R578" s="2">
        <v>45394</v>
      </c>
      <c r="S578" t="s">
        <v>44</v>
      </c>
      <c r="T578">
        <f t="shared" si="56"/>
        <v>202.45</v>
      </c>
      <c r="U578">
        <f t="shared" si="57"/>
        <v>0</v>
      </c>
      <c r="V578">
        <f t="shared" si="58"/>
        <v>180.12</v>
      </c>
      <c r="W578">
        <f t="shared" si="59"/>
        <v>0</v>
      </c>
      <c r="X578">
        <f t="shared" si="60"/>
        <v>2</v>
      </c>
      <c r="Y578" cm="1">
        <f t="array" ref="Y578">_xlfn.IFS(H578=0.1,1,H578=0.15,1,H578=0.05,1,H578=0,0)</f>
        <v>0</v>
      </c>
      <c r="Z578">
        <f t="shared" si="61"/>
        <v>0</v>
      </c>
      <c r="AA578">
        <f t="shared" si="62"/>
        <v>2024</v>
      </c>
    </row>
    <row r="579" spans="1:27" x14ac:dyDescent="0.3">
      <c r="A579" s="2">
        <v>45168</v>
      </c>
      <c r="B579" t="s">
        <v>45</v>
      </c>
      <c r="C579" t="s">
        <v>132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68</v>
      </c>
      <c r="J579">
        <v>375.83600000000001</v>
      </c>
      <c r="K579" t="s">
        <v>65</v>
      </c>
      <c r="L579" t="s">
        <v>41</v>
      </c>
      <c r="M579">
        <v>0</v>
      </c>
      <c r="N579" t="s">
        <v>1188</v>
      </c>
      <c r="O579" t="s">
        <v>1189</v>
      </c>
      <c r="P579">
        <v>16.84</v>
      </c>
      <c r="Q579" s="2">
        <v>45168</v>
      </c>
      <c r="R579" s="2">
        <v>45170</v>
      </c>
      <c r="S579" t="s">
        <v>50</v>
      </c>
      <c r="T579">
        <f t="shared" ref="T579:T642" si="63">SUM(J579:P579)</f>
        <v>392.67599999999999</v>
      </c>
      <c r="U579">
        <f t="shared" ref="U579:U642" si="64">PRODUCT(100,H579)</f>
        <v>15</v>
      </c>
      <c r="V579">
        <f t="shared" ref="V579:V642" si="65">PRODUCT(D579:E579)</f>
        <v>442.16</v>
      </c>
      <c r="W579">
        <f t="shared" ref="W579:W642" si="66" xml:space="preserve"> V579-J579</f>
        <v>66.324000000000012</v>
      </c>
      <c r="X579">
        <f t="shared" ref="X579:X642" si="67">R579-Q579</f>
        <v>2</v>
      </c>
      <c r="Y579" cm="1">
        <f t="array" ref="Y579">_xlfn.IFS(H579=0.1,1,H579=0.15,1,H579=0.05,1,H579=0,0)</f>
        <v>1</v>
      </c>
      <c r="Z579">
        <f t="shared" ref="Z579:Z642" si="68">PRODUCT(Y579,D579)</f>
        <v>8</v>
      </c>
      <c r="AA579">
        <f t="shared" ref="AA579:AA642" si="69">YEAR(A579)</f>
        <v>2023</v>
      </c>
    </row>
    <row r="580" spans="1:27" x14ac:dyDescent="0.3">
      <c r="A580" s="2">
        <v>45222</v>
      </c>
      <c r="B580" t="s">
        <v>71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68</v>
      </c>
      <c r="J580">
        <v>419.09249999999997</v>
      </c>
      <c r="K580" t="s">
        <v>34</v>
      </c>
      <c r="L580" t="s">
        <v>59</v>
      </c>
      <c r="M580">
        <v>0</v>
      </c>
      <c r="N580" t="s">
        <v>1190</v>
      </c>
      <c r="O580" t="s">
        <v>1191</v>
      </c>
      <c r="P580">
        <v>27.68</v>
      </c>
      <c r="Q580" s="2">
        <v>45222</v>
      </c>
      <c r="R580" s="2">
        <v>45229</v>
      </c>
      <c r="S580" t="s">
        <v>74</v>
      </c>
      <c r="T580">
        <f t="shared" si="63"/>
        <v>446.77249999999998</v>
      </c>
      <c r="U580">
        <f t="shared" si="64"/>
        <v>5</v>
      </c>
      <c r="V580">
        <f t="shared" si="65"/>
        <v>441.15</v>
      </c>
      <c r="W580">
        <f t="shared" si="66"/>
        <v>22.057500000000005</v>
      </c>
      <c r="X580">
        <f t="shared" si="67"/>
        <v>7</v>
      </c>
      <c r="Y580" cm="1">
        <f t="array" ref="Y580">_xlfn.IFS(H580=0.1,1,H580=0.15,1,H580=0.05,1,H580=0,0)</f>
        <v>1</v>
      </c>
      <c r="Z580">
        <f t="shared" si="68"/>
        <v>17</v>
      </c>
      <c r="AA580">
        <f t="shared" si="69"/>
        <v>2023</v>
      </c>
    </row>
    <row r="581" spans="1:27" x14ac:dyDescent="0.3">
      <c r="A581" s="2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62</v>
      </c>
      <c r="L581" t="s">
        <v>59</v>
      </c>
      <c r="M581">
        <v>0</v>
      </c>
      <c r="N581" t="s">
        <v>1192</v>
      </c>
      <c r="O581" t="s">
        <v>1193</v>
      </c>
      <c r="P581">
        <v>42.04</v>
      </c>
      <c r="Q581" s="2">
        <v>45008</v>
      </c>
      <c r="R581" s="2">
        <v>45015</v>
      </c>
      <c r="S581" t="s">
        <v>44</v>
      </c>
      <c r="T581">
        <f t="shared" si="63"/>
        <v>3438.37</v>
      </c>
      <c r="U581">
        <f t="shared" si="64"/>
        <v>10</v>
      </c>
      <c r="V581">
        <f t="shared" si="65"/>
        <v>3773.7000000000003</v>
      </c>
      <c r="W581">
        <f t="shared" si="66"/>
        <v>377.37000000000035</v>
      </c>
      <c r="X581">
        <f t="shared" si="67"/>
        <v>7</v>
      </c>
      <c r="Y581" cm="1">
        <f t="array" ref="Y581">_xlfn.IFS(H581=0.1,1,H581=0.15,1,H581=0.05,1,H581=0,0)</f>
        <v>1</v>
      </c>
      <c r="Z581">
        <f t="shared" si="68"/>
        <v>18</v>
      </c>
      <c r="AA581">
        <f t="shared" si="69"/>
        <v>2023</v>
      </c>
    </row>
    <row r="582" spans="1:27" x14ac:dyDescent="0.3">
      <c r="A582" s="2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62</v>
      </c>
      <c r="L582" t="s">
        <v>35</v>
      </c>
      <c r="M582">
        <v>0</v>
      </c>
      <c r="N582" t="s">
        <v>1194</v>
      </c>
      <c r="O582" t="s">
        <v>1195</v>
      </c>
      <c r="P582">
        <v>41.94</v>
      </c>
      <c r="Q582" s="2">
        <v>45556</v>
      </c>
      <c r="R582" s="2">
        <v>45565</v>
      </c>
      <c r="S582" t="s">
        <v>50</v>
      </c>
      <c r="T582">
        <f t="shared" si="63"/>
        <v>879.19849999999997</v>
      </c>
      <c r="U582">
        <f t="shared" si="64"/>
        <v>15</v>
      </c>
      <c r="V582">
        <f t="shared" si="65"/>
        <v>985.01</v>
      </c>
      <c r="W582">
        <f t="shared" si="66"/>
        <v>147.75149999999996</v>
      </c>
      <c r="X582">
        <f t="shared" si="67"/>
        <v>9</v>
      </c>
      <c r="Y582" cm="1">
        <f t="array" ref="Y582">_xlfn.IFS(H582=0.1,1,H582=0.15,1,H582=0.05,1,H582=0,0)</f>
        <v>1</v>
      </c>
      <c r="Z582">
        <f t="shared" si="68"/>
        <v>13</v>
      </c>
      <c r="AA582">
        <f t="shared" si="69"/>
        <v>2024</v>
      </c>
    </row>
    <row r="583" spans="1:27" x14ac:dyDescent="0.3">
      <c r="A583" s="2">
        <v>45652</v>
      </c>
      <c r="B583" t="s">
        <v>71</v>
      </c>
      <c r="C583" t="s">
        <v>81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68</v>
      </c>
      <c r="J583">
        <v>1385.28</v>
      </c>
      <c r="K583" t="s">
        <v>24</v>
      </c>
      <c r="L583" t="s">
        <v>35</v>
      </c>
      <c r="M583">
        <v>0</v>
      </c>
      <c r="N583" t="s">
        <v>1196</v>
      </c>
      <c r="O583" t="s">
        <v>1197</v>
      </c>
      <c r="P583">
        <v>13.61</v>
      </c>
      <c r="Q583" s="2">
        <v>45652</v>
      </c>
      <c r="R583" s="2">
        <v>45660</v>
      </c>
      <c r="S583" t="s">
        <v>74</v>
      </c>
      <c r="T583">
        <f t="shared" si="63"/>
        <v>1398.8899999999999</v>
      </c>
      <c r="U583">
        <f t="shared" si="64"/>
        <v>10</v>
      </c>
      <c r="V583">
        <f t="shared" si="65"/>
        <v>1539.1999999999998</v>
      </c>
      <c r="W583">
        <f t="shared" si="66"/>
        <v>153.91999999999985</v>
      </c>
      <c r="X583">
        <f t="shared" si="67"/>
        <v>8</v>
      </c>
      <c r="Y583" cm="1">
        <f t="array" ref="Y583">_xlfn.IFS(H583=0.1,1,H583=0.15,1,H583=0.05,1,H583=0,0)</f>
        <v>1</v>
      </c>
      <c r="Z583">
        <f t="shared" si="68"/>
        <v>5</v>
      </c>
      <c r="AA583">
        <f t="shared" si="69"/>
        <v>2024</v>
      </c>
    </row>
    <row r="584" spans="1:27" x14ac:dyDescent="0.3">
      <c r="A584" s="2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65</v>
      </c>
      <c r="L584" t="s">
        <v>59</v>
      </c>
      <c r="M584">
        <v>0</v>
      </c>
      <c r="N584" t="s">
        <v>1198</v>
      </c>
      <c r="O584" t="s">
        <v>1199</v>
      </c>
      <c r="P584">
        <v>20.02</v>
      </c>
      <c r="Q584" s="2">
        <v>44983</v>
      </c>
      <c r="R584" s="2">
        <v>44988</v>
      </c>
      <c r="S584" t="s">
        <v>28</v>
      </c>
      <c r="T584">
        <f t="shared" si="63"/>
        <v>104.52</v>
      </c>
      <c r="U584">
        <f t="shared" si="64"/>
        <v>0</v>
      </c>
      <c r="V584">
        <f t="shared" si="65"/>
        <v>84.5</v>
      </c>
      <c r="W584">
        <f t="shared" si="66"/>
        <v>0</v>
      </c>
      <c r="X584">
        <f t="shared" si="67"/>
        <v>5</v>
      </c>
      <c r="Y584" cm="1">
        <f t="array" ref="Y584">_xlfn.IFS(H584=0.1,1,H584=0.15,1,H584=0.05,1,H584=0,0)</f>
        <v>0</v>
      </c>
      <c r="Z584">
        <f t="shared" si="68"/>
        <v>0</v>
      </c>
      <c r="AA584">
        <f t="shared" si="69"/>
        <v>2023</v>
      </c>
    </row>
    <row r="585" spans="1:27" x14ac:dyDescent="0.3">
      <c r="A585" s="2">
        <v>45636</v>
      </c>
      <c r="B585" t="s">
        <v>39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L585" t="s">
        <v>59</v>
      </c>
      <c r="M585">
        <v>0</v>
      </c>
      <c r="N585" t="s">
        <v>1200</v>
      </c>
      <c r="O585" t="s">
        <v>1201</v>
      </c>
      <c r="P585">
        <v>46.35</v>
      </c>
      <c r="Q585" s="2">
        <v>45636</v>
      </c>
      <c r="R585" s="2">
        <v>45640</v>
      </c>
      <c r="S585" t="s">
        <v>44</v>
      </c>
      <c r="T585">
        <f t="shared" si="63"/>
        <v>612.67000000000007</v>
      </c>
      <c r="U585">
        <f t="shared" si="64"/>
        <v>0</v>
      </c>
      <c r="V585">
        <f t="shared" si="65"/>
        <v>566.32000000000005</v>
      </c>
      <c r="W585">
        <f t="shared" si="66"/>
        <v>0</v>
      </c>
      <c r="X585">
        <f t="shared" si="67"/>
        <v>4</v>
      </c>
      <c r="Y585" cm="1">
        <f t="array" ref="Y585">_xlfn.IFS(H585=0.1,1,H585=0.15,1,H585=0.05,1,H585=0,0)</f>
        <v>0</v>
      </c>
      <c r="Z585">
        <f t="shared" si="68"/>
        <v>0</v>
      </c>
      <c r="AA585">
        <f t="shared" si="69"/>
        <v>2024</v>
      </c>
    </row>
    <row r="586" spans="1:27" x14ac:dyDescent="0.3">
      <c r="A586" s="2">
        <v>45658</v>
      </c>
      <c r="B586" t="s">
        <v>19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8945.9100000000017</v>
      </c>
      <c r="K586" t="s">
        <v>24</v>
      </c>
      <c r="L586" t="s">
        <v>59</v>
      </c>
      <c r="M586">
        <v>1</v>
      </c>
      <c r="N586" t="s">
        <v>1202</v>
      </c>
      <c r="O586" t="s">
        <v>1203</v>
      </c>
      <c r="P586">
        <v>46.59</v>
      </c>
      <c r="Q586" s="2">
        <v>45658</v>
      </c>
      <c r="R586" s="2">
        <v>45660</v>
      </c>
      <c r="S586" t="s">
        <v>28</v>
      </c>
      <c r="T586">
        <f t="shared" si="63"/>
        <v>8993.5000000000018</v>
      </c>
      <c r="U586">
        <f t="shared" si="64"/>
        <v>10</v>
      </c>
      <c r="V586">
        <f t="shared" si="65"/>
        <v>9939.9000000000015</v>
      </c>
      <c r="W586">
        <f t="shared" si="66"/>
        <v>993.98999999999978</v>
      </c>
      <c r="X586">
        <f t="shared" si="67"/>
        <v>2</v>
      </c>
      <c r="Y586" cm="1">
        <f t="array" ref="Y586">_xlfn.IFS(H586=0.1,1,H586=0.15,1,H586=0.05,1,H586=0,0)</f>
        <v>1</v>
      </c>
      <c r="Z586">
        <f t="shared" si="68"/>
        <v>17</v>
      </c>
      <c r="AA586">
        <f t="shared" si="69"/>
        <v>2025</v>
      </c>
    </row>
    <row r="587" spans="1:27" x14ac:dyDescent="0.3">
      <c r="A587" s="2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1204</v>
      </c>
      <c r="O587" t="s">
        <v>1205</v>
      </c>
      <c r="P587">
        <v>32.86</v>
      </c>
      <c r="Q587" s="2">
        <v>45730</v>
      </c>
      <c r="R587" s="2">
        <v>45737</v>
      </c>
      <c r="S587" t="s">
        <v>28</v>
      </c>
      <c r="T587">
        <f t="shared" si="63"/>
        <v>111.97799999999999</v>
      </c>
      <c r="U587">
        <f t="shared" si="64"/>
        <v>15</v>
      </c>
      <c r="V587">
        <f t="shared" si="65"/>
        <v>93.08</v>
      </c>
      <c r="W587">
        <f t="shared" si="66"/>
        <v>13.962000000000003</v>
      </c>
      <c r="X587">
        <f t="shared" si="67"/>
        <v>7</v>
      </c>
      <c r="Y587" cm="1">
        <f t="array" ref="Y587">_xlfn.IFS(H587=0.1,1,H587=0.15,1,H587=0.05,1,H587=0,0)</f>
        <v>1</v>
      </c>
      <c r="Z587">
        <f t="shared" si="68"/>
        <v>4</v>
      </c>
      <c r="AA587">
        <f t="shared" si="69"/>
        <v>2025</v>
      </c>
    </row>
    <row r="588" spans="1:27" x14ac:dyDescent="0.3">
      <c r="A588" s="2">
        <v>45307</v>
      </c>
      <c r="B588" t="s">
        <v>29</v>
      </c>
      <c r="C588" t="s">
        <v>81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L588" t="s">
        <v>59</v>
      </c>
      <c r="M588">
        <v>0</v>
      </c>
      <c r="N588" t="s">
        <v>1206</v>
      </c>
      <c r="O588" t="s">
        <v>1207</v>
      </c>
      <c r="P588">
        <v>23.84</v>
      </c>
      <c r="Q588" s="2">
        <v>45307</v>
      </c>
      <c r="R588" s="2">
        <v>45311</v>
      </c>
      <c r="S588" t="s">
        <v>38</v>
      </c>
      <c r="T588">
        <f t="shared" si="63"/>
        <v>2008.0249999999999</v>
      </c>
      <c r="U588">
        <f t="shared" si="64"/>
        <v>10</v>
      </c>
      <c r="V588">
        <f t="shared" si="65"/>
        <v>2204.65</v>
      </c>
      <c r="W588">
        <f t="shared" si="66"/>
        <v>220.46500000000015</v>
      </c>
      <c r="X588">
        <f t="shared" si="67"/>
        <v>4</v>
      </c>
      <c r="Y588" cm="1">
        <f t="array" ref="Y588">_xlfn.IFS(H588=0.1,1,H588=0.15,1,H588=0.05,1,H588=0,0)</f>
        <v>1</v>
      </c>
      <c r="Z588">
        <f t="shared" si="68"/>
        <v>5</v>
      </c>
      <c r="AA588">
        <f t="shared" si="69"/>
        <v>2024</v>
      </c>
    </row>
    <row r="589" spans="1:27" x14ac:dyDescent="0.3">
      <c r="A589" s="2">
        <v>45401</v>
      </c>
      <c r="B589" t="s">
        <v>71</v>
      </c>
      <c r="C589" t="s">
        <v>81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1208</v>
      </c>
      <c r="O589" t="s">
        <v>1209</v>
      </c>
      <c r="P589">
        <v>11.13</v>
      </c>
      <c r="Q589" s="2">
        <v>45401</v>
      </c>
      <c r="R589" s="2">
        <v>45407</v>
      </c>
      <c r="S589" t="s">
        <v>74</v>
      </c>
      <c r="T589">
        <f t="shared" si="63"/>
        <v>2795.63</v>
      </c>
      <c r="U589">
        <f t="shared" si="64"/>
        <v>0</v>
      </c>
      <c r="V589">
        <f t="shared" si="65"/>
        <v>2784.5</v>
      </c>
      <c r="W589">
        <f t="shared" si="66"/>
        <v>0</v>
      </c>
      <c r="X589">
        <f t="shared" si="67"/>
        <v>6</v>
      </c>
      <c r="Y589" cm="1">
        <f t="array" ref="Y589">_xlfn.IFS(H589=0.1,1,H589=0.15,1,H589=0.05,1,H589=0,0)</f>
        <v>0</v>
      </c>
      <c r="Z589">
        <f t="shared" si="68"/>
        <v>0</v>
      </c>
      <c r="AA589">
        <f t="shared" si="69"/>
        <v>2024</v>
      </c>
    </row>
    <row r="590" spans="1:27" x14ac:dyDescent="0.3">
      <c r="A590" s="2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5083.1269999999986</v>
      </c>
      <c r="K590" t="s">
        <v>65</v>
      </c>
      <c r="L590" t="s">
        <v>25</v>
      </c>
      <c r="M590">
        <v>1</v>
      </c>
      <c r="N590" t="s">
        <v>1210</v>
      </c>
      <c r="O590" t="s">
        <v>1211</v>
      </c>
      <c r="P590">
        <v>49.12</v>
      </c>
      <c r="Q590" s="2">
        <v>45268</v>
      </c>
      <c r="R590" s="2">
        <v>45271</v>
      </c>
      <c r="S590" t="s">
        <v>44</v>
      </c>
      <c r="T590">
        <f t="shared" si="63"/>
        <v>5133.2469999999985</v>
      </c>
      <c r="U590">
        <f t="shared" si="64"/>
        <v>5</v>
      </c>
      <c r="V590">
        <f t="shared" si="65"/>
        <v>5350.66</v>
      </c>
      <c r="W590">
        <f t="shared" si="66"/>
        <v>267.53300000000127</v>
      </c>
      <c r="X590">
        <f t="shared" si="67"/>
        <v>3</v>
      </c>
      <c r="Y590" cm="1">
        <f t="array" ref="Y590">_xlfn.IFS(H590=0.1,1,H590=0.15,1,H590=0.05,1,H590=0,0)</f>
        <v>1</v>
      </c>
      <c r="Z590">
        <f t="shared" si="68"/>
        <v>14</v>
      </c>
      <c r="AA590">
        <f t="shared" si="69"/>
        <v>2023</v>
      </c>
    </row>
    <row r="591" spans="1:27" x14ac:dyDescent="0.3">
      <c r="A591" s="2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1212</v>
      </c>
      <c r="O591" t="s">
        <v>1213</v>
      </c>
      <c r="P591">
        <v>5.32</v>
      </c>
      <c r="Q591" s="2">
        <v>45000</v>
      </c>
      <c r="R591" s="2">
        <v>45004</v>
      </c>
      <c r="S591" t="s">
        <v>44</v>
      </c>
      <c r="T591">
        <f t="shared" si="63"/>
        <v>3098.4370000000004</v>
      </c>
      <c r="U591">
        <f t="shared" si="64"/>
        <v>5</v>
      </c>
      <c r="V591">
        <f t="shared" si="65"/>
        <v>3254.86</v>
      </c>
      <c r="W591">
        <f t="shared" si="66"/>
        <v>162.74299999999994</v>
      </c>
      <c r="X591">
        <f t="shared" si="67"/>
        <v>4</v>
      </c>
      <c r="Y591" cm="1">
        <f t="array" ref="Y591">_xlfn.IFS(H591=0.1,1,H591=0.15,1,H591=0.05,1,H591=0,0)</f>
        <v>1</v>
      </c>
      <c r="Z591">
        <f t="shared" si="68"/>
        <v>14</v>
      </c>
      <c r="AA591">
        <f t="shared" si="69"/>
        <v>2023</v>
      </c>
    </row>
    <row r="592" spans="1:27" x14ac:dyDescent="0.3">
      <c r="A592" s="2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62</v>
      </c>
      <c r="L592" t="s">
        <v>35</v>
      </c>
      <c r="M592">
        <v>1</v>
      </c>
      <c r="N592" t="s">
        <v>1214</v>
      </c>
      <c r="O592" t="s">
        <v>1215</v>
      </c>
      <c r="P592">
        <v>22</v>
      </c>
      <c r="Q592" s="2">
        <v>45695</v>
      </c>
      <c r="R592" s="2">
        <v>45701</v>
      </c>
      <c r="S592" t="s">
        <v>38</v>
      </c>
      <c r="T592">
        <f t="shared" si="63"/>
        <v>239.89449999999999</v>
      </c>
      <c r="U592">
        <f t="shared" si="64"/>
        <v>15</v>
      </c>
      <c r="V592">
        <f t="shared" si="65"/>
        <v>255.17</v>
      </c>
      <c r="W592">
        <f t="shared" si="66"/>
        <v>38.275499999999994</v>
      </c>
      <c r="X592">
        <f t="shared" si="67"/>
        <v>6</v>
      </c>
      <c r="Y592" cm="1">
        <f t="array" ref="Y592">_xlfn.IFS(H592=0.1,1,H592=0.15,1,H592=0.05,1,H592=0,0)</f>
        <v>1</v>
      </c>
      <c r="Z592">
        <f t="shared" si="68"/>
        <v>17</v>
      </c>
      <c r="AA592">
        <f t="shared" si="69"/>
        <v>2025</v>
      </c>
    </row>
    <row r="593" spans="1:27" x14ac:dyDescent="0.3">
      <c r="A593" s="2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1216</v>
      </c>
      <c r="O593" t="s">
        <v>1217</v>
      </c>
      <c r="P593">
        <v>6.16</v>
      </c>
      <c r="Q593" s="2">
        <v>45835</v>
      </c>
      <c r="R593" s="2">
        <v>45840</v>
      </c>
      <c r="S593" t="s">
        <v>44</v>
      </c>
      <c r="T593">
        <f t="shared" si="63"/>
        <v>313.49450000000002</v>
      </c>
      <c r="U593">
        <f t="shared" si="64"/>
        <v>5</v>
      </c>
      <c r="V593">
        <f t="shared" si="65"/>
        <v>323.51</v>
      </c>
      <c r="W593">
        <f t="shared" si="66"/>
        <v>16.1755</v>
      </c>
      <c r="X593">
        <f t="shared" si="67"/>
        <v>5</v>
      </c>
      <c r="Y593" cm="1">
        <f t="array" ref="Y593">_xlfn.IFS(H593=0.1,1,H593=0.15,1,H593=0.05,1,H593=0,0)</f>
        <v>1</v>
      </c>
      <c r="Z593">
        <f t="shared" si="68"/>
        <v>11</v>
      </c>
      <c r="AA593">
        <f t="shared" si="69"/>
        <v>2025</v>
      </c>
    </row>
    <row r="594" spans="1:27" x14ac:dyDescent="0.3">
      <c r="A594" s="2">
        <v>45643</v>
      </c>
      <c r="B594" t="s">
        <v>45</v>
      </c>
      <c r="C594" t="s">
        <v>81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1218</v>
      </c>
      <c r="O594" t="s">
        <v>1219</v>
      </c>
      <c r="P594">
        <v>41.73</v>
      </c>
      <c r="Q594" s="2">
        <v>45643</v>
      </c>
      <c r="R594" s="2">
        <v>45646</v>
      </c>
      <c r="S594" t="s">
        <v>50</v>
      </c>
      <c r="T594">
        <f t="shared" si="63"/>
        <v>503.6105</v>
      </c>
      <c r="U594">
        <f t="shared" si="64"/>
        <v>5</v>
      </c>
      <c r="V594">
        <f t="shared" si="65"/>
        <v>486.19</v>
      </c>
      <c r="W594">
        <f t="shared" si="66"/>
        <v>24.309500000000014</v>
      </c>
      <c r="X594">
        <f t="shared" si="67"/>
        <v>3</v>
      </c>
      <c r="Y594" cm="1">
        <f t="array" ref="Y594">_xlfn.IFS(H594=0.1,1,H594=0.15,1,H594=0.05,1,H594=0,0)</f>
        <v>1</v>
      </c>
      <c r="Z594">
        <f t="shared" si="68"/>
        <v>1</v>
      </c>
      <c r="AA594">
        <f t="shared" si="69"/>
        <v>2024</v>
      </c>
    </row>
    <row r="595" spans="1:27" x14ac:dyDescent="0.3">
      <c r="A595" s="2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62</v>
      </c>
      <c r="L595" t="s">
        <v>59</v>
      </c>
      <c r="M595">
        <v>0</v>
      </c>
      <c r="N595" t="s">
        <v>1220</v>
      </c>
      <c r="O595" t="s">
        <v>1221</v>
      </c>
      <c r="P595">
        <v>48.49</v>
      </c>
      <c r="Q595" s="2">
        <v>45415</v>
      </c>
      <c r="R595" s="2">
        <v>45423</v>
      </c>
      <c r="S595" t="s">
        <v>38</v>
      </c>
      <c r="T595">
        <f t="shared" si="63"/>
        <v>1568.509</v>
      </c>
      <c r="U595">
        <f t="shared" si="64"/>
        <v>5</v>
      </c>
      <c r="V595">
        <f t="shared" si="65"/>
        <v>1600.02</v>
      </c>
      <c r="W595">
        <f t="shared" si="66"/>
        <v>80.000999999999976</v>
      </c>
      <c r="X595">
        <f t="shared" si="67"/>
        <v>8</v>
      </c>
      <c r="Y595" cm="1">
        <f t="array" ref="Y595">_xlfn.IFS(H595=0.1,1,H595=0.15,1,H595=0.05,1,H595=0,0)</f>
        <v>1</v>
      </c>
      <c r="Z595">
        <f t="shared" si="68"/>
        <v>6</v>
      </c>
      <c r="AA595">
        <f t="shared" si="69"/>
        <v>2024</v>
      </c>
    </row>
    <row r="596" spans="1:27" x14ac:dyDescent="0.3">
      <c r="A596" s="2">
        <v>45286</v>
      </c>
      <c r="B596" t="s">
        <v>29</v>
      </c>
      <c r="C596" t="s">
        <v>132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812.16000000000008</v>
      </c>
      <c r="K596" t="s">
        <v>65</v>
      </c>
      <c r="L596" t="s">
        <v>59</v>
      </c>
      <c r="M596">
        <v>1</v>
      </c>
      <c r="N596" t="s">
        <v>1222</v>
      </c>
      <c r="O596" t="s">
        <v>1030</v>
      </c>
      <c r="P596">
        <v>15.98</v>
      </c>
      <c r="Q596" s="2">
        <v>45286</v>
      </c>
      <c r="R596" s="2">
        <v>45292</v>
      </c>
      <c r="S596" t="s">
        <v>38</v>
      </c>
      <c r="T596">
        <f t="shared" si="63"/>
        <v>829.1400000000001</v>
      </c>
      <c r="U596">
        <f t="shared" si="64"/>
        <v>10</v>
      </c>
      <c r="V596">
        <f t="shared" si="65"/>
        <v>902.40000000000009</v>
      </c>
      <c r="W596">
        <f t="shared" si="66"/>
        <v>90.240000000000009</v>
      </c>
      <c r="X596">
        <f t="shared" si="67"/>
        <v>6</v>
      </c>
      <c r="Y596" cm="1">
        <f t="array" ref="Y596">_xlfn.IFS(H596=0.1,1,H596=0.15,1,H596=0.05,1,H596=0,0)</f>
        <v>1</v>
      </c>
      <c r="Z596">
        <f t="shared" si="68"/>
        <v>3</v>
      </c>
      <c r="AA596">
        <f t="shared" si="69"/>
        <v>2023</v>
      </c>
    </row>
    <row r="597" spans="1:27" x14ac:dyDescent="0.3">
      <c r="A597" s="2">
        <v>45425</v>
      </c>
      <c r="B597" t="s">
        <v>45</v>
      </c>
      <c r="C597" t="s">
        <v>132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832.13349999999991</v>
      </c>
      <c r="K597" t="s">
        <v>24</v>
      </c>
      <c r="L597" t="s">
        <v>59</v>
      </c>
      <c r="M597">
        <v>0</v>
      </c>
      <c r="N597" t="s">
        <v>1223</v>
      </c>
      <c r="O597" t="s">
        <v>1224</v>
      </c>
      <c r="P597">
        <v>43.84</v>
      </c>
      <c r="Q597" s="2">
        <v>45425</v>
      </c>
      <c r="R597" s="2">
        <v>45431</v>
      </c>
      <c r="S597" t="s">
        <v>50</v>
      </c>
      <c r="T597">
        <f t="shared" si="63"/>
        <v>875.97349999999994</v>
      </c>
      <c r="U597">
        <f t="shared" si="64"/>
        <v>5</v>
      </c>
      <c r="V597">
        <f t="shared" si="65"/>
        <v>875.93</v>
      </c>
      <c r="W597">
        <f t="shared" si="66"/>
        <v>43.796500000000037</v>
      </c>
      <c r="X597">
        <f t="shared" si="67"/>
        <v>6</v>
      </c>
      <c r="Y597" cm="1">
        <f t="array" ref="Y597">_xlfn.IFS(H597=0.1,1,H597=0.15,1,H597=0.05,1,H597=0,0)</f>
        <v>1</v>
      </c>
      <c r="Z597">
        <f t="shared" si="68"/>
        <v>11</v>
      </c>
      <c r="AA597">
        <f t="shared" si="69"/>
        <v>2024</v>
      </c>
    </row>
    <row r="598" spans="1:27" x14ac:dyDescent="0.3">
      <c r="A598" s="2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65</v>
      </c>
      <c r="L598" t="s">
        <v>59</v>
      </c>
      <c r="M598">
        <v>0</v>
      </c>
      <c r="N598" t="s">
        <v>1225</v>
      </c>
      <c r="O598" t="s">
        <v>1226</v>
      </c>
      <c r="P598">
        <v>40.380000000000003</v>
      </c>
      <c r="Q598" s="2">
        <v>45206</v>
      </c>
      <c r="R598" s="2">
        <v>45215</v>
      </c>
      <c r="S598" t="s">
        <v>38</v>
      </c>
      <c r="T598">
        <f t="shared" si="63"/>
        <v>3074.58</v>
      </c>
      <c r="U598">
        <f t="shared" si="64"/>
        <v>0</v>
      </c>
      <c r="V598">
        <f t="shared" si="65"/>
        <v>3034.2</v>
      </c>
      <c r="W598">
        <f t="shared" si="66"/>
        <v>0</v>
      </c>
      <c r="X598">
        <f t="shared" si="67"/>
        <v>9</v>
      </c>
      <c r="Y598" cm="1">
        <f t="array" ref="Y598">_xlfn.IFS(H598=0.1,1,H598=0.15,1,H598=0.05,1,H598=0,0)</f>
        <v>0</v>
      </c>
      <c r="Z598">
        <f t="shared" si="68"/>
        <v>0</v>
      </c>
      <c r="AA598">
        <f t="shared" si="69"/>
        <v>2023</v>
      </c>
    </row>
    <row r="599" spans="1:27" x14ac:dyDescent="0.3">
      <c r="A599" s="2">
        <v>45118</v>
      </c>
      <c r="B599" t="s">
        <v>71</v>
      </c>
      <c r="C599" t="s">
        <v>132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62</v>
      </c>
      <c r="L599" t="s">
        <v>25</v>
      </c>
      <c r="M599">
        <v>0</v>
      </c>
      <c r="N599" t="s">
        <v>1227</v>
      </c>
      <c r="O599" t="s">
        <v>1228</v>
      </c>
      <c r="P599">
        <v>48.8</v>
      </c>
      <c r="Q599" s="2">
        <v>45118</v>
      </c>
      <c r="R599" s="2">
        <v>45120</v>
      </c>
      <c r="S599" t="s">
        <v>74</v>
      </c>
      <c r="T599">
        <f t="shared" si="63"/>
        <v>2896.9</v>
      </c>
      <c r="U599">
        <f t="shared" si="64"/>
        <v>0</v>
      </c>
      <c r="V599">
        <f t="shared" si="65"/>
        <v>2848.1</v>
      </c>
      <c r="W599">
        <f t="shared" si="66"/>
        <v>0</v>
      </c>
      <c r="X599">
        <f t="shared" si="67"/>
        <v>2</v>
      </c>
      <c r="Y599" cm="1">
        <f t="array" ref="Y599">_xlfn.IFS(H599=0.1,1,H599=0.15,1,H599=0.05,1,H599=0,0)</f>
        <v>0</v>
      </c>
      <c r="Z599">
        <f t="shared" si="68"/>
        <v>0</v>
      </c>
      <c r="AA599">
        <f t="shared" si="69"/>
        <v>2023</v>
      </c>
    </row>
    <row r="600" spans="1:27" x14ac:dyDescent="0.3">
      <c r="A600" s="2">
        <v>45688</v>
      </c>
      <c r="B600" t="s">
        <v>29</v>
      </c>
      <c r="C600" t="s">
        <v>81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1229</v>
      </c>
      <c r="O600" t="s">
        <v>1230</v>
      </c>
      <c r="P600">
        <v>22.28</v>
      </c>
      <c r="Q600" s="2">
        <v>45688</v>
      </c>
      <c r="R600" s="2">
        <v>45694</v>
      </c>
      <c r="S600" t="s">
        <v>38</v>
      </c>
      <c r="T600">
        <f t="shared" si="63"/>
        <v>1662.1224999999999</v>
      </c>
      <c r="U600">
        <f t="shared" si="64"/>
        <v>5</v>
      </c>
      <c r="V600">
        <f t="shared" si="65"/>
        <v>1726.1499999999999</v>
      </c>
      <c r="W600">
        <f t="shared" si="66"/>
        <v>86.307499999999891</v>
      </c>
      <c r="X600">
        <f t="shared" si="67"/>
        <v>6</v>
      </c>
      <c r="Y600" cm="1">
        <f t="array" ref="Y600">_xlfn.IFS(H600=0.1,1,H600=0.15,1,H600=0.05,1,H600=0,0)</f>
        <v>1</v>
      </c>
      <c r="Z600">
        <f t="shared" si="68"/>
        <v>19</v>
      </c>
      <c r="AA600">
        <f t="shared" si="69"/>
        <v>2025</v>
      </c>
    </row>
    <row r="601" spans="1:27" x14ac:dyDescent="0.3">
      <c r="A601" s="2">
        <v>44961</v>
      </c>
      <c r="B601" t="s">
        <v>29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62</v>
      </c>
      <c r="L601" t="s">
        <v>41</v>
      </c>
      <c r="M601">
        <v>0</v>
      </c>
      <c r="N601" t="s">
        <v>1231</v>
      </c>
      <c r="O601" t="s">
        <v>1232</v>
      </c>
      <c r="P601">
        <v>44.35</v>
      </c>
      <c r="Q601" s="2">
        <v>44961</v>
      </c>
      <c r="R601" s="2">
        <v>44964</v>
      </c>
      <c r="S601" t="s">
        <v>38</v>
      </c>
      <c r="T601">
        <f t="shared" si="63"/>
        <v>608.47900000000004</v>
      </c>
      <c r="U601">
        <f t="shared" si="64"/>
        <v>5</v>
      </c>
      <c r="V601">
        <f t="shared" si="65"/>
        <v>593.82000000000005</v>
      </c>
      <c r="W601">
        <f t="shared" si="66"/>
        <v>29.691000000000031</v>
      </c>
      <c r="X601">
        <f t="shared" si="67"/>
        <v>3</v>
      </c>
      <c r="Y601" cm="1">
        <f t="array" ref="Y601">_xlfn.IFS(H601=0.1,1,H601=0.15,1,H601=0.05,1,H601=0,0)</f>
        <v>1</v>
      </c>
      <c r="Z601">
        <f t="shared" si="68"/>
        <v>2</v>
      </c>
      <c r="AA601">
        <f t="shared" si="69"/>
        <v>2023</v>
      </c>
    </row>
    <row r="602" spans="1:27" x14ac:dyDescent="0.3">
      <c r="A602" s="2">
        <v>45171</v>
      </c>
      <c r="B602" t="s">
        <v>29</v>
      </c>
      <c r="C602" t="s">
        <v>132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1233</v>
      </c>
      <c r="O602" t="s">
        <v>1234</v>
      </c>
      <c r="P602">
        <v>47.24</v>
      </c>
      <c r="Q602" s="2">
        <v>45171</v>
      </c>
      <c r="R602" s="2">
        <v>45181</v>
      </c>
      <c r="S602" t="s">
        <v>38</v>
      </c>
      <c r="T602">
        <f t="shared" si="63"/>
        <v>59.382000000000005</v>
      </c>
      <c r="U602">
        <f t="shared" si="64"/>
        <v>10</v>
      </c>
      <c r="V602">
        <f t="shared" si="65"/>
        <v>12.38</v>
      </c>
      <c r="W602">
        <f t="shared" si="66"/>
        <v>1.2380000000000013</v>
      </c>
      <c r="X602">
        <f t="shared" si="67"/>
        <v>10</v>
      </c>
      <c r="Y602" cm="1">
        <f t="array" ref="Y602">_xlfn.IFS(H602=0.1,1,H602=0.15,1,H602=0.05,1,H602=0,0)</f>
        <v>1</v>
      </c>
      <c r="Z602">
        <f t="shared" si="68"/>
        <v>2</v>
      </c>
      <c r="AA602">
        <f t="shared" si="69"/>
        <v>2023</v>
      </c>
    </row>
    <row r="603" spans="1:27" x14ac:dyDescent="0.3">
      <c r="A603" s="2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</v>
      </c>
      <c r="K603" t="s">
        <v>62</v>
      </c>
      <c r="L603" t="s">
        <v>25</v>
      </c>
      <c r="M603">
        <v>0</v>
      </c>
      <c r="N603" t="s">
        <v>1235</v>
      </c>
      <c r="O603" t="s">
        <v>1236</v>
      </c>
      <c r="P603">
        <v>11.17</v>
      </c>
      <c r="Q603" s="2">
        <v>45639</v>
      </c>
      <c r="R603" s="2">
        <v>45641</v>
      </c>
      <c r="S603" t="s">
        <v>50</v>
      </c>
      <c r="T603">
        <f t="shared" si="63"/>
        <v>3183.6249999999991</v>
      </c>
      <c r="U603">
        <f t="shared" si="64"/>
        <v>15</v>
      </c>
      <c r="V603">
        <f t="shared" si="65"/>
        <v>3732.2999999999997</v>
      </c>
      <c r="W603">
        <f t="shared" si="66"/>
        <v>559.84500000000071</v>
      </c>
      <c r="X603">
        <f t="shared" si="67"/>
        <v>2</v>
      </c>
      <c r="Y603" cm="1">
        <f t="array" ref="Y603">_xlfn.IFS(H603=0.1,1,H603=0.15,1,H603=0.05,1,H603=0,0)</f>
        <v>1</v>
      </c>
      <c r="Z603">
        <f t="shared" si="68"/>
        <v>18</v>
      </c>
      <c r="AA603">
        <f t="shared" si="69"/>
        <v>2024</v>
      </c>
    </row>
    <row r="604" spans="1:27" x14ac:dyDescent="0.3">
      <c r="A604" s="2">
        <v>45212</v>
      </c>
      <c r="B604" t="s">
        <v>45</v>
      </c>
      <c r="C604" t="s">
        <v>81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65</v>
      </c>
      <c r="L604" t="s">
        <v>59</v>
      </c>
      <c r="M604">
        <v>0</v>
      </c>
      <c r="N604" t="s">
        <v>1237</v>
      </c>
      <c r="O604" t="s">
        <v>1238</v>
      </c>
      <c r="P604">
        <v>31.61</v>
      </c>
      <c r="Q604" s="2">
        <v>45212</v>
      </c>
      <c r="R604" s="2">
        <v>45221</v>
      </c>
      <c r="S604" t="s">
        <v>50</v>
      </c>
      <c r="T604">
        <f t="shared" si="63"/>
        <v>407.96000000000004</v>
      </c>
      <c r="U604">
        <f t="shared" si="64"/>
        <v>0</v>
      </c>
      <c r="V604">
        <f t="shared" si="65"/>
        <v>376.34999999999997</v>
      </c>
      <c r="W604">
        <f t="shared" si="66"/>
        <v>0</v>
      </c>
      <c r="X604">
        <f t="shared" si="67"/>
        <v>9</v>
      </c>
      <c r="Y604" cm="1">
        <f t="array" ref="Y604">_xlfn.IFS(H604=0.1,1,H604=0.15,1,H604=0.05,1,H604=0,0)</f>
        <v>0</v>
      </c>
      <c r="Z604">
        <f t="shared" si="68"/>
        <v>0</v>
      </c>
      <c r="AA604">
        <f t="shared" si="69"/>
        <v>2023</v>
      </c>
    </row>
    <row r="605" spans="1:27" x14ac:dyDescent="0.3">
      <c r="A605" s="2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367.60500000000008</v>
      </c>
      <c r="K605" t="s">
        <v>34</v>
      </c>
      <c r="L605" t="s">
        <v>35</v>
      </c>
      <c r="M605">
        <v>0</v>
      </c>
      <c r="N605" t="s">
        <v>1239</v>
      </c>
      <c r="O605" t="s">
        <v>1240</v>
      </c>
      <c r="P605">
        <v>48.38</v>
      </c>
      <c r="Q605" s="2">
        <v>45568</v>
      </c>
      <c r="R605" s="2">
        <v>45572</v>
      </c>
      <c r="S605" t="s">
        <v>38</v>
      </c>
      <c r="T605">
        <f t="shared" si="63"/>
        <v>415.98500000000007</v>
      </c>
      <c r="U605">
        <f t="shared" si="64"/>
        <v>10</v>
      </c>
      <c r="V605">
        <f t="shared" si="65"/>
        <v>408.45000000000005</v>
      </c>
      <c r="W605">
        <f t="shared" si="66"/>
        <v>40.84499999999997</v>
      </c>
      <c r="X605">
        <f t="shared" si="67"/>
        <v>4</v>
      </c>
      <c r="Y605" cm="1">
        <f t="array" ref="Y605">_xlfn.IFS(H605=0.1,1,H605=0.15,1,H605=0.05,1,H605=0,0)</f>
        <v>1</v>
      </c>
      <c r="Z605">
        <f t="shared" si="68"/>
        <v>3</v>
      </c>
      <c r="AA605">
        <f t="shared" si="69"/>
        <v>2024</v>
      </c>
    </row>
    <row r="606" spans="1:27" x14ac:dyDescent="0.3">
      <c r="A606" s="2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1241</v>
      </c>
      <c r="O606" t="s">
        <v>1242</v>
      </c>
      <c r="P606">
        <v>8.39</v>
      </c>
      <c r="Q606" s="2">
        <v>45410</v>
      </c>
      <c r="R606" s="2">
        <v>45416</v>
      </c>
      <c r="S606" t="s">
        <v>50</v>
      </c>
      <c r="T606">
        <f t="shared" si="63"/>
        <v>2459.3599999999997</v>
      </c>
      <c r="U606">
        <f t="shared" si="64"/>
        <v>10</v>
      </c>
      <c r="V606">
        <f t="shared" si="65"/>
        <v>2723.2999999999997</v>
      </c>
      <c r="W606">
        <f t="shared" si="66"/>
        <v>272.32999999999993</v>
      </c>
      <c r="X606">
        <f t="shared" si="67"/>
        <v>6</v>
      </c>
      <c r="Y606" cm="1">
        <f t="array" ref="Y606">_xlfn.IFS(H606=0.1,1,H606=0.15,1,H606=0.05,1,H606=0,0)</f>
        <v>1</v>
      </c>
      <c r="Z606">
        <f t="shared" si="68"/>
        <v>5</v>
      </c>
      <c r="AA606">
        <f t="shared" si="69"/>
        <v>2024</v>
      </c>
    </row>
    <row r="607" spans="1:27" x14ac:dyDescent="0.3">
      <c r="A607" s="2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68</v>
      </c>
      <c r="J607">
        <v>3820.92</v>
      </c>
      <c r="K607" t="s">
        <v>24</v>
      </c>
      <c r="L607" t="s">
        <v>25</v>
      </c>
      <c r="M607">
        <v>1</v>
      </c>
      <c r="N607" t="s">
        <v>1243</v>
      </c>
      <c r="O607" t="s">
        <v>1244</v>
      </c>
      <c r="P607">
        <v>15.97</v>
      </c>
      <c r="Q607" s="2">
        <v>45329</v>
      </c>
      <c r="R607" s="2">
        <v>45336</v>
      </c>
      <c r="S607" t="s">
        <v>50</v>
      </c>
      <c r="T607">
        <f t="shared" si="63"/>
        <v>3837.89</v>
      </c>
      <c r="U607">
        <f t="shared" si="64"/>
        <v>15</v>
      </c>
      <c r="V607">
        <f t="shared" si="65"/>
        <v>4495.2</v>
      </c>
      <c r="W607">
        <f t="shared" si="66"/>
        <v>674.27999999999975</v>
      </c>
      <c r="X607">
        <f t="shared" si="67"/>
        <v>7</v>
      </c>
      <c r="Y607" cm="1">
        <f t="array" ref="Y607">_xlfn.IFS(H607=0.1,1,H607=0.15,1,H607=0.05,1,H607=0,0)</f>
        <v>1</v>
      </c>
      <c r="Z607">
        <f t="shared" si="68"/>
        <v>8</v>
      </c>
      <c r="AA607">
        <f t="shared" si="69"/>
        <v>2024</v>
      </c>
    </row>
    <row r="608" spans="1:27" x14ac:dyDescent="0.3">
      <c r="A608" s="2">
        <v>44965</v>
      </c>
      <c r="B608" t="s">
        <v>29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5328.9900000000007</v>
      </c>
      <c r="K608" t="s">
        <v>24</v>
      </c>
      <c r="L608" t="s">
        <v>25</v>
      </c>
      <c r="M608">
        <v>0</v>
      </c>
      <c r="N608" t="s">
        <v>1245</v>
      </c>
      <c r="O608" t="s">
        <v>1246</v>
      </c>
      <c r="P608">
        <v>18.170000000000002</v>
      </c>
      <c r="Q608" s="2">
        <v>44965</v>
      </c>
      <c r="R608" s="2">
        <v>44968</v>
      </c>
      <c r="S608" t="s">
        <v>38</v>
      </c>
      <c r="T608">
        <f t="shared" si="63"/>
        <v>5347.1600000000008</v>
      </c>
      <c r="U608">
        <f t="shared" si="64"/>
        <v>15</v>
      </c>
      <c r="V608">
        <f t="shared" si="65"/>
        <v>6269.4000000000005</v>
      </c>
      <c r="W608">
        <f t="shared" si="66"/>
        <v>940.40999999999985</v>
      </c>
      <c r="X608">
        <f t="shared" si="67"/>
        <v>3</v>
      </c>
      <c r="Y608" cm="1">
        <f t="array" ref="Y608">_xlfn.IFS(H608=0.1,1,H608=0.15,1,H608=0.05,1,H608=0,0)</f>
        <v>1</v>
      </c>
      <c r="Z608">
        <f t="shared" si="68"/>
        <v>20</v>
      </c>
      <c r="AA608">
        <f t="shared" si="69"/>
        <v>2023</v>
      </c>
    </row>
    <row r="609" spans="1:27" x14ac:dyDescent="0.3">
      <c r="A609" s="2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65</v>
      </c>
      <c r="L609" t="s">
        <v>41</v>
      </c>
      <c r="M609">
        <v>0</v>
      </c>
      <c r="N609" t="s">
        <v>1247</v>
      </c>
      <c r="O609" t="s">
        <v>1248</v>
      </c>
      <c r="P609">
        <v>35.58</v>
      </c>
      <c r="Q609" s="2">
        <v>45094</v>
      </c>
      <c r="R609" s="2">
        <v>45096</v>
      </c>
      <c r="S609" t="s">
        <v>38</v>
      </c>
      <c r="T609">
        <f t="shared" si="63"/>
        <v>391.26249999999999</v>
      </c>
      <c r="U609">
        <f t="shared" si="64"/>
        <v>15</v>
      </c>
      <c r="V609">
        <f t="shared" si="65"/>
        <v>418.45</v>
      </c>
      <c r="W609">
        <f t="shared" si="66"/>
        <v>62.767499999999984</v>
      </c>
      <c r="X609">
        <f t="shared" si="67"/>
        <v>2</v>
      </c>
      <c r="Y609" cm="1">
        <f t="array" ref="Y609">_xlfn.IFS(H609=0.1,1,H609=0.15,1,H609=0.05,1,H609=0,0)</f>
        <v>1</v>
      </c>
      <c r="Z609">
        <f t="shared" si="68"/>
        <v>1</v>
      </c>
      <c r="AA609">
        <f t="shared" si="69"/>
        <v>2023</v>
      </c>
    </row>
    <row r="610" spans="1:27" x14ac:dyDescent="0.3">
      <c r="A610" s="2">
        <v>45502</v>
      </c>
      <c r="B610" t="s">
        <v>71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68</v>
      </c>
      <c r="J610">
        <v>3029.4</v>
      </c>
      <c r="K610" t="s">
        <v>24</v>
      </c>
      <c r="L610" t="s">
        <v>35</v>
      </c>
      <c r="M610">
        <v>1</v>
      </c>
      <c r="N610" t="s">
        <v>1249</v>
      </c>
      <c r="O610" t="s">
        <v>1250</v>
      </c>
      <c r="P610">
        <v>44.61</v>
      </c>
      <c r="Q610" s="2">
        <v>45502</v>
      </c>
      <c r="R610" s="2">
        <v>45505</v>
      </c>
      <c r="S610" t="s">
        <v>74</v>
      </c>
      <c r="T610">
        <f t="shared" si="63"/>
        <v>3075.01</v>
      </c>
      <c r="U610">
        <f t="shared" si="64"/>
        <v>10</v>
      </c>
      <c r="V610">
        <f t="shared" si="65"/>
        <v>3366</v>
      </c>
      <c r="W610">
        <f t="shared" si="66"/>
        <v>336.59999999999991</v>
      </c>
      <c r="X610">
        <f t="shared" si="67"/>
        <v>3</v>
      </c>
      <c r="Y610" cm="1">
        <f t="array" ref="Y610">_xlfn.IFS(H610=0.1,1,H610=0.15,1,H610=0.05,1,H610=0,0)</f>
        <v>1</v>
      </c>
      <c r="Z610">
        <f t="shared" si="68"/>
        <v>8</v>
      </c>
      <c r="AA610">
        <f t="shared" si="69"/>
        <v>2024</v>
      </c>
    </row>
    <row r="611" spans="1:27" x14ac:dyDescent="0.3">
      <c r="A611" s="2">
        <v>45320</v>
      </c>
      <c r="B611" t="s">
        <v>71</v>
      </c>
      <c r="C611" t="s">
        <v>132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1251</v>
      </c>
      <c r="O611" t="s">
        <v>1252</v>
      </c>
      <c r="P611">
        <v>40.75</v>
      </c>
      <c r="Q611" s="2">
        <v>45320</v>
      </c>
      <c r="R611" s="2">
        <v>45323</v>
      </c>
      <c r="S611" t="s">
        <v>74</v>
      </c>
      <c r="T611">
        <f t="shared" si="63"/>
        <v>8270.51</v>
      </c>
      <c r="U611">
        <f t="shared" si="64"/>
        <v>0</v>
      </c>
      <c r="V611">
        <f t="shared" si="65"/>
        <v>8229.76</v>
      </c>
      <c r="W611">
        <f t="shared" si="66"/>
        <v>0</v>
      </c>
      <c r="X611">
        <f t="shared" si="67"/>
        <v>3</v>
      </c>
      <c r="Y611" cm="1">
        <f t="array" ref="Y611">_xlfn.IFS(H611=0.1,1,H611=0.15,1,H611=0.05,1,H611=0,0)</f>
        <v>0</v>
      </c>
      <c r="Z611">
        <f t="shared" si="68"/>
        <v>0</v>
      </c>
      <c r="AA611">
        <f t="shared" si="69"/>
        <v>2024</v>
      </c>
    </row>
    <row r="612" spans="1:27" x14ac:dyDescent="0.3">
      <c r="A612" s="2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1253</v>
      </c>
      <c r="O612" t="s">
        <v>1254</v>
      </c>
      <c r="P612">
        <v>8.7100000000000009</v>
      </c>
      <c r="Q612" s="2">
        <v>45309</v>
      </c>
      <c r="R612" s="2">
        <v>45314</v>
      </c>
      <c r="S612" t="s">
        <v>28</v>
      </c>
      <c r="T612">
        <f t="shared" si="63"/>
        <v>543.67000000000007</v>
      </c>
      <c r="U612">
        <f t="shared" si="64"/>
        <v>10</v>
      </c>
      <c r="V612">
        <f t="shared" si="65"/>
        <v>594.4</v>
      </c>
      <c r="W612">
        <f t="shared" si="66"/>
        <v>59.439999999999941</v>
      </c>
      <c r="X612">
        <f t="shared" si="67"/>
        <v>5</v>
      </c>
      <c r="Y612" cm="1">
        <f t="array" ref="Y612">_xlfn.IFS(H612=0.1,1,H612=0.15,1,H612=0.05,1,H612=0,0)</f>
        <v>1</v>
      </c>
      <c r="Z612">
        <f t="shared" si="68"/>
        <v>2</v>
      </c>
      <c r="AA612">
        <f t="shared" si="69"/>
        <v>2024</v>
      </c>
    </row>
    <row r="613" spans="1:27" x14ac:dyDescent="0.3">
      <c r="A613" s="2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68</v>
      </c>
      <c r="J613">
        <v>2780</v>
      </c>
      <c r="K613" t="s">
        <v>58</v>
      </c>
      <c r="L613" t="s">
        <v>59</v>
      </c>
      <c r="M613">
        <v>0</v>
      </c>
      <c r="N613" t="s">
        <v>1255</v>
      </c>
      <c r="O613" t="s">
        <v>1256</v>
      </c>
      <c r="P613">
        <v>24.25</v>
      </c>
      <c r="Q613" s="2">
        <v>45516</v>
      </c>
      <c r="R613" s="2">
        <v>45526</v>
      </c>
      <c r="S613" t="s">
        <v>44</v>
      </c>
      <c r="T613">
        <f t="shared" si="63"/>
        <v>2804.25</v>
      </c>
      <c r="U613">
        <f t="shared" si="64"/>
        <v>0</v>
      </c>
      <c r="V613">
        <f t="shared" si="65"/>
        <v>2780</v>
      </c>
      <c r="W613">
        <f t="shared" si="66"/>
        <v>0</v>
      </c>
      <c r="X613">
        <f t="shared" si="67"/>
        <v>10</v>
      </c>
      <c r="Y613" cm="1">
        <f t="array" ref="Y613">_xlfn.IFS(H613=0.1,1,H613=0.15,1,H613=0.05,1,H613=0,0)</f>
        <v>0</v>
      </c>
      <c r="Z613">
        <f t="shared" si="68"/>
        <v>0</v>
      </c>
      <c r="AA613">
        <f t="shared" si="69"/>
        <v>2024</v>
      </c>
    </row>
    <row r="614" spans="1:27" x14ac:dyDescent="0.3">
      <c r="A614" s="2">
        <v>45763</v>
      </c>
      <c r="B614" t="s">
        <v>71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1257</v>
      </c>
      <c r="O614" t="s">
        <v>1258</v>
      </c>
      <c r="P614">
        <v>49.18</v>
      </c>
      <c r="Q614" s="2">
        <v>45763</v>
      </c>
      <c r="R614" s="2">
        <v>45767</v>
      </c>
      <c r="S614" t="s">
        <v>74</v>
      </c>
      <c r="T614">
        <f t="shared" si="63"/>
        <v>4248.0039999999999</v>
      </c>
      <c r="U614">
        <f t="shared" si="64"/>
        <v>10</v>
      </c>
      <c r="V614">
        <f t="shared" si="65"/>
        <v>4665.3599999999997</v>
      </c>
      <c r="W614">
        <f t="shared" si="66"/>
        <v>466.53600000000006</v>
      </c>
      <c r="X614">
        <f t="shared" si="67"/>
        <v>4</v>
      </c>
      <c r="Y614" cm="1">
        <f t="array" ref="Y614">_xlfn.IFS(H614=0.1,1,H614=0.15,1,H614=0.05,1,H614=0,0)</f>
        <v>1</v>
      </c>
      <c r="Z614">
        <f t="shared" si="68"/>
        <v>8</v>
      </c>
      <c r="AA614">
        <f t="shared" si="69"/>
        <v>2025</v>
      </c>
    </row>
    <row r="615" spans="1:27" x14ac:dyDescent="0.3">
      <c r="A615" s="2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65</v>
      </c>
      <c r="L615" t="s">
        <v>41</v>
      </c>
      <c r="M615">
        <v>0</v>
      </c>
      <c r="N615" t="s">
        <v>1259</v>
      </c>
      <c r="O615" t="s">
        <v>1260</v>
      </c>
      <c r="P615">
        <v>27.39</v>
      </c>
      <c r="Q615" s="2">
        <v>44983</v>
      </c>
      <c r="R615" s="2">
        <v>44987</v>
      </c>
      <c r="S615" t="s">
        <v>50</v>
      </c>
      <c r="T615">
        <f t="shared" si="63"/>
        <v>1116.3180000000002</v>
      </c>
      <c r="U615">
        <f t="shared" si="64"/>
        <v>10</v>
      </c>
      <c r="V615">
        <f t="shared" si="65"/>
        <v>1209.92</v>
      </c>
      <c r="W615">
        <f t="shared" si="66"/>
        <v>120.99199999999996</v>
      </c>
      <c r="X615">
        <f t="shared" si="67"/>
        <v>4</v>
      </c>
      <c r="Y615" cm="1">
        <f t="array" ref="Y615">_xlfn.IFS(H615=0.1,1,H615=0.15,1,H615=0.05,1,H615=0,0)</f>
        <v>1</v>
      </c>
      <c r="Z615">
        <f t="shared" si="68"/>
        <v>16</v>
      </c>
      <c r="AA615">
        <f t="shared" si="69"/>
        <v>2023</v>
      </c>
    </row>
    <row r="616" spans="1:27" x14ac:dyDescent="0.3">
      <c r="A616" s="2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1261</v>
      </c>
      <c r="O616" t="s">
        <v>1262</v>
      </c>
      <c r="P616">
        <v>12.91</v>
      </c>
      <c r="Q616" s="2">
        <v>44933</v>
      </c>
      <c r="R616" s="2">
        <v>44937</v>
      </c>
      <c r="S616" t="s">
        <v>28</v>
      </c>
      <c r="T616">
        <f t="shared" si="63"/>
        <v>6948.9169999999995</v>
      </c>
      <c r="U616">
        <f t="shared" si="64"/>
        <v>5</v>
      </c>
      <c r="V616">
        <f t="shared" si="65"/>
        <v>7301.06</v>
      </c>
      <c r="W616">
        <f t="shared" si="66"/>
        <v>365.05300000000079</v>
      </c>
      <c r="X616">
        <f t="shared" si="67"/>
        <v>4</v>
      </c>
      <c r="Y616" cm="1">
        <f t="array" ref="Y616">_xlfn.IFS(H616=0.1,1,H616=0.15,1,H616=0.05,1,H616=0,0)</f>
        <v>1</v>
      </c>
      <c r="Z616">
        <f t="shared" si="68"/>
        <v>13</v>
      </c>
      <c r="AA616">
        <f t="shared" si="69"/>
        <v>2023</v>
      </c>
    </row>
    <row r="617" spans="1:27" x14ac:dyDescent="0.3">
      <c r="A617" s="2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68</v>
      </c>
      <c r="J617">
        <v>1798.05</v>
      </c>
      <c r="K617" t="s">
        <v>24</v>
      </c>
      <c r="L617" t="s">
        <v>25</v>
      </c>
      <c r="M617">
        <v>0</v>
      </c>
      <c r="N617" t="s">
        <v>1263</v>
      </c>
      <c r="O617" t="s">
        <v>1264</v>
      </c>
      <c r="P617">
        <v>41.31</v>
      </c>
      <c r="Q617" s="2">
        <v>45223</v>
      </c>
      <c r="R617" s="2">
        <v>45233</v>
      </c>
      <c r="S617" t="s">
        <v>38</v>
      </c>
      <c r="T617">
        <f t="shared" si="63"/>
        <v>1839.36</v>
      </c>
      <c r="U617">
        <f t="shared" si="64"/>
        <v>0</v>
      </c>
      <c r="V617">
        <f t="shared" si="65"/>
        <v>1798.0500000000002</v>
      </c>
      <c r="W617">
        <f t="shared" si="66"/>
        <v>0</v>
      </c>
      <c r="X617">
        <f t="shared" si="67"/>
        <v>10</v>
      </c>
      <c r="Y617" cm="1">
        <f t="array" ref="Y617">_xlfn.IFS(H617=0.1,1,H617=0.15,1,H617=0.05,1,H617=0,0)</f>
        <v>0</v>
      </c>
      <c r="Z617">
        <f t="shared" si="68"/>
        <v>0</v>
      </c>
      <c r="AA617">
        <f t="shared" si="69"/>
        <v>2023</v>
      </c>
    </row>
    <row r="618" spans="1:27" x14ac:dyDescent="0.3">
      <c r="A618" s="2">
        <v>45293</v>
      </c>
      <c r="B618" t="s">
        <v>39</v>
      </c>
      <c r="C618" t="s">
        <v>81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L618" t="s">
        <v>59</v>
      </c>
      <c r="M618">
        <v>0</v>
      </c>
      <c r="N618" t="s">
        <v>1265</v>
      </c>
      <c r="O618" t="s">
        <v>1266</v>
      </c>
      <c r="P618">
        <v>6.04</v>
      </c>
      <c r="Q618" s="2">
        <v>45293</v>
      </c>
      <c r="R618" s="2">
        <v>45303</v>
      </c>
      <c r="S618" t="s">
        <v>44</v>
      </c>
      <c r="T618">
        <f t="shared" si="63"/>
        <v>1478.4099999999999</v>
      </c>
      <c r="U618">
        <f t="shared" si="64"/>
        <v>15</v>
      </c>
      <c r="V618">
        <f t="shared" si="65"/>
        <v>1732.2</v>
      </c>
      <c r="W618">
        <f t="shared" si="66"/>
        <v>259.83000000000015</v>
      </c>
      <c r="X618">
        <f t="shared" si="67"/>
        <v>10</v>
      </c>
      <c r="Y618" cm="1">
        <f t="array" ref="Y618">_xlfn.IFS(H618=0.1,1,H618=0.15,1,H618=0.05,1,H618=0,0)</f>
        <v>1</v>
      </c>
      <c r="Z618">
        <f t="shared" si="68"/>
        <v>15</v>
      </c>
      <c r="AA618">
        <f t="shared" si="69"/>
        <v>2024</v>
      </c>
    </row>
    <row r="619" spans="1:27" x14ac:dyDescent="0.3">
      <c r="A619" s="2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1267</v>
      </c>
      <c r="O619" t="s">
        <v>1268</v>
      </c>
      <c r="P619">
        <v>28.27</v>
      </c>
      <c r="Q619" s="2">
        <v>45552</v>
      </c>
      <c r="R619" s="2">
        <v>45560</v>
      </c>
      <c r="S619" t="s">
        <v>38</v>
      </c>
      <c r="T619">
        <f t="shared" si="63"/>
        <v>6110.1220000000003</v>
      </c>
      <c r="U619">
        <f t="shared" si="64"/>
        <v>15</v>
      </c>
      <c r="V619">
        <f t="shared" si="65"/>
        <v>7155.12</v>
      </c>
      <c r="W619">
        <f t="shared" si="66"/>
        <v>1073.268</v>
      </c>
      <c r="X619">
        <f t="shared" si="67"/>
        <v>8</v>
      </c>
      <c r="Y619" cm="1">
        <f t="array" ref="Y619">_xlfn.IFS(H619=0.1,1,H619=0.15,1,H619=0.05,1,H619=0,0)</f>
        <v>1</v>
      </c>
      <c r="Z619">
        <f t="shared" si="68"/>
        <v>12</v>
      </c>
      <c r="AA619">
        <f t="shared" si="69"/>
        <v>2024</v>
      </c>
    </row>
    <row r="620" spans="1:27" x14ac:dyDescent="0.3">
      <c r="A620" s="2">
        <v>45417</v>
      </c>
      <c r="B620" t="s">
        <v>45</v>
      </c>
      <c r="C620" t="s">
        <v>81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62</v>
      </c>
      <c r="L620" t="s">
        <v>41</v>
      </c>
      <c r="M620">
        <v>1</v>
      </c>
      <c r="N620" t="s">
        <v>1269</v>
      </c>
      <c r="O620" t="s">
        <v>1270</v>
      </c>
      <c r="P620">
        <v>37.770000000000003</v>
      </c>
      <c r="Q620" s="2">
        <v>45417</v>
      </c>
      <c r="R620" s="2">
        <v>45423</v>
      </c>
      <c r="S620" t="s">
        <v>50</v>
      </c>
      <c r="T620">
        <f t="shared" si="63"/>
        <v>7289.0940000000001</v>
      </c>
      <c r="U620">
        <f t="shared" si="64"/>
        <v>5</v>
      </c>
      <c r="V620">
        <f t="shared" si="65"/>
        <v>7631.92</v>
      </c>
      <c r="W620">
        <f t="shared" si="66"/>
        <v>381.59600000000046</v>
      </c>
      <c r="X620">
        <f t="shared" si="67"/>
        <v>6</v>
      </c>
      <c r="Y620" cm="1">
        <f t="array" ref="Y620">_xlfn.IFS(H620=0.1,1,H620=0.15,1,H620=0.05,1,H620=0,0)</f>
        <v>1</v>
      </c>
      <c r="Z620">
        <f t="shared" si="68"/>
        <v>19</v>
      </c>
      <c r="AA620">
        <f t="shared" si="69"/>
        <v>2024</v>
      </c>
    </row>
    <row r="621" spans="1:27" x14ac:dyDescent="0.3">
      <c r="A621" s="2">
        <v>45835</v>
      </c>
      <c r="B621" t="s">
        <v>71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62</v>
      </c>
      <c r="L621" t="s">
        <v>59</v>
      </c>
      <c r="M621">
        <v>0</v>
      </c>
      <c r="N621" t="s">
        <v>1271</v>
      </c>
      <c r="O621" t="s">
        <v>1272</v>
      </c>
      <c r="P621">
        <v>12.39</v>
      </c>
      <c r="Q621" s="2">
        <v>45835</v>
      </c>
      <c r="R621" s="2">
        <v>45837</v>
      </c>
      <c r="S621" t="s">
        <v>74</v>
      </c>
      <c r="T621">
        <f t="shared" si="63"/>
        <v>1479.8300000000002</v>
      </c>
      <c r="U621">
        <f t="shared" si="64"/>
        <v>0</v>
      </c>
      <c r="V621">
        <f t="shared" si="65"/>
        <v>1467.44</v>
      </c>
      <c r="W621">
        <f t="shared" si="66"/>
        <v>0</v>
      </c>
      <c r="X621">
        <f t="shared" si="67"/>
        <v>2</v>
      </c>
      <c r="Y621" cm="1">
        <f t="array" ref="Y621">_xlfn.IFS(H621=0.1,1,H621=0.15,1,H621=0.05,1,H621=0,0)</f>
        <v>0</v>
      </c>
      <c r="Z621">
        <f t="shared" si="68"/>
        <v>0</v>
      </c>
      <c r="AA621">
        <f t="shared" si="69"/>
        <v>2025</v>
      </c>
    </row>
    <row r="622" spans="1:27" x14ac:dyDescent="0.3">
      <c r="A622" s="2">
        <v>45426</v>
      </c>
      <c r="B622" t="s">
        <v>71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1273</v>
      </c>
      <c r="O622" t="s">
        <v>1274</v>
      </c>
      <c r="P622">
        <v>7.39</v>
      </c>
      <c r="Q622" s="2">
        <v>45426</v>
      </c>
      <c r="R622" s="2">
        <v>45434</v>
      </c>
      <c r="S622" t="s">
        <v>74</v>
      </c>
      <c r="T622">
        <f t="shared" si="63"/>
        <v>1894.798</v>
      </c>
      <c r="U622">
        <f t="shared" si="64"/>
        <v>15</v>
      </c>
      <c r="V622">
        <f t="shared" si="65"/>
        <v>2220.48</v>
      </c>
      <c r="W622">
        <f t="shared" si="66"/>
        <v>333.07200000000012</v>
      </c>
      <c r="X622">
        <f t="shared" si="67"/>
        <v>8</v>
      </c>
      <c r="Y622" cm="1">
        <f t="array" ref="Y622">_xlfn.IFS(H622=0.1,1,H622=0.15,1,H622=0.05,1,H622=0,0)</f>
        <v>1</v>
      </c>
      <c r="Z622">
        <f t="shared" si="68"/>
        <v>6</v>
      </c>
      <c r="AA622">
        <f t="shared" si="69"/>
        <v>2024</v>
      </c>
    </row>
    <row r="623" spans="1:27" x14ac:dyDescent="0.3">
      <c r="A623" s="2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68</v>
      </c>
      <c r="J623">
        <v>1528.2149999999999</v>
      </c>
      <c r="K623" t="s">
        <v>62</v>
      </c>
      <c r="L623" t="s">
        <v>59</v>
      </c>
      <c r="M623">
        <v>1</v>
      </c>
      <c r="N623" t="s">
        <v>1275</v>
      </c>
      <c r="O623" t="s">
        <v>1276</v>
      </c>
      <c r="P623">
        <v>30.78</v>
      </c>
      <c r="Q623" s="2">
        <v>45351</v>
      </c>
      <c r="R623" s="2">
        <v>45356</v>
      </c>
      <c r="S623" t="s">
        <v>44</v>
      </c>
      <c r="T623">
        <f t="shared" si="63"/>
        <v>1559.9949999999999</v>
      </c>
      <c r="U623">
        <f t="shared" si="64"/>
        <v>15</v>
      </c>
      <c r="V623">
        <f t="shared" si="65"/>
        <v>1797.9</v>
      </c>
      <c r="W623">
        <f t="shared" si="66"/>
        <v>269.68500000000017</v>
      </c>
      <c r="X623">
        <f t="shared" si="67"/>
        <v>5</v>
      </c>
      <c r="Y623" cm="1">
        <f t="array" ref="Y623">_xlfn.IFS(H623=0.1,1,H623=0.15,1,H623=0.05,1,H623=0,0)</f>
        <v>1</v>
      </c>
      <c r="Z623">
        <f t="shared" si="68"/>
        <v>15</v>
      </c>
      <c r="AA623">
        <f t="shared" si="69"/>
        <v>2024</v>
      </c>
    </row>
    <row r="624" spans="1:27" x14ac:dyDescent="0.3">
      <c r="A624" s="2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62</v>
      </c>
      <c r="L624" t="s">
        <v>25</v>
      </c>
      <c r="M624">
        <v>0</v>
      </c>
      <c r="N624" t="s">
        <v>1277</v>
      </c>
      <c r="O624" t="s">
        <v>1278</v>
      </c>
      <c r="P624">
        <v>5.98</v>
      </c>
      <c r="Q624" s="2">
        <v>45796</v>
      </c>
      <c r="R624" s="2">
        <v>45804</v>
      </c>
      <c r="S624" t="s">
        <v>28</v>
      </c>
      <c r="T624">
        <f t="shared" si="63"/>
        <v>1159.5999999999999</v>
      </c>
      <c r="U624">
        <f t="shared" si="64"/>
        <v>15</v>
      </c>
      <c r="V624">
        <f t="shared" si="65"/>
        <v>1357.2</v>
      </c>
      <c r="W624">
        <f t="shared" si="66"/>
        <v>203.58000000000015</v>
      </c>
      <c r="X624">
        <f t="shared" si="67"/>
        <v>8</v>
      </c>
      <c r="Y624" cm="1">
        <f t="array" ref="Y624">_xlfn.IFS(H624=0.1,1,H624=0.15,1,H624=0.05,1,H624=0,0)</f>
        <v>1</v>
      </c>
      <c r="Z624">
        <f t="shared" si="68"/>
        <v>5</v>
      </c>
      <c r="AA624">
        <f t="shared" si="69"/>
        <v>2025</v>
      </c>
    </row>
    <row r="625" spans="1:27" x14ac:dyDescent="0.3">
      <c r="A625" s="2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L625" t="s">
        <v>59</v>
      </c>
      <c r="M625">
        <v>0</v>
      </c>
      <c r="N625" t="s">
        <v>1279</v>
      </c>
      <c r="O625" t="s">
        <v>260</v>
      </c>
      <c r="P625">
        <v>41.64</v>
      </c>
      <c r="Q625" s="2">
        <v>45628</v>
      </c>
      <c r="R625" s="2">
        <v>45630</v>
      </c>
      <c r="S625" t="s">
        <v>28</v>
      </c>
      <c r="T625">
        <f t="shared" si="63"/>
        <v>3148.6244999999999</v>
      </c>
      <c r="U625">
        <f t="shared" si="64"/>
        <v>5</v>
      </c>
      <c r="V625">
        <f t="shared" si="65"/>
        <v>3270.5099999999998</v>
      </c>
      <c r="W625">
        <f t="shared" si="66"/>
        <v>163.52549999999974</v>
      </c>
      <c r="X625">
        <f t="shared" si="67"/>
        <v>2</v>
      </c>
      <c r="Y625" cm="1">
        <f t="array" ref="Y625">_xlfn.IFS(H625=0.1,1,H625=0.15,1,H625=0.05,1,H625=0,0)</f>
        <v>1</v>
      </c>
      <c r="Z625">
        <f t="shared" si="68"/>
        <v>9</v>
      </c>
      <c r="AA625">
        <f t="shared" si="69"/>
        <v>2024</v>
      </c>
    </row>
    <row r="626" spans="1:27" x14ac:dyDescent="0.3">
      <c r="A626" s="2">
        <v>45503</v>
      </c>
      <c r="B626" t="s">
        <v>71</v>
      </c>
      <c r="C626" t="s">
        <v>132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65</v>
      </c>
      <c r="L626" t="s">
        <v>35</v>
      </c>
      <c r="M626">
        <v>0</v>
      </c>
      <c r="N626" t="s">
        <v>1280</v>
      </c>
      <c r="O626" t="s">
        <v>1281</v>
      </c>
      <c r="P626">
        <v>48.71</v>
      </c>
      <c r="Q626" s="2">
        <v>45503</v>
      </c>
      <c r="R626" s="2">
        <v>45508</v>
      </c>
      <c r="S626" t="s">
        <v>74</v>
      </c>
      <c r="T626">
        <f t="shared" si="63"/>
        <v>5493.1639999999998</v>
      </c>
      <c r="U626">
        <f t="shared" si="64"/>
        <v>15</v>
      </c>
      <c r="V626">
        <f t="shared" si="65"/>
        <v>6405.24</v>
      </c>
      <c r="W626">
        <f t="shared" si="66"/>
        <v>960.78600000000006</v>
      </c>
      <c r="X626">
        <f t="shared" si="67"/>
        <v>5</v>
      </c>
      <c r="Y626" cm="1">
        <f t="array" ref="Y626">_xlfn.IFS(H626=0.1,1,H626=0.15,1,H626=0.05,1,H626=0,0)</f>
        <v>1</v>
      </c>
      <c r="Z626">
        <f t="shared" si="68"/>
        <v>12</v>
      </c>
      <c r="AA626">
        <f t="shared" si="69"/>
        <v>2024</v>
      </c>
    </row>
    <row r="627" spans="1:27" x14ac:dyDescent="0.3">
      <c r="A627" s="2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L627" t="s">
        <v>59</v>
      </c>
      <c r="M627">
        <v>0</v>
      </c>
      <c r="N627" t="s">
        <v>1282</v>
      </c>
      <c r="O627" t="s">
        <v>1283</v>
      </c>
      <c r="P627">
        <v>41.08</v>
      </c>
      <c r="Q627" s="2">
        <v>45102</v>
      </c>
      <c r="R627" s="2">
        <v>45110</v>
      </c>
      <c r="S627" t="s">
        <v>38</v>
      </c>
      <c r="T627">
        <f t="shared" si="63"/>
        <v>2115.0039999999999</v>
      </c>
      <c r="U627">
        <f t="shared" si="64"/>
        <v>10</v>
      </c>
      <c r="V627">
        <f t="shared" si="65"/>
        <v>2304.36</v>
      </c>
      <c r="W627">
        <f t="shared" si="66"/>
        <v>230.43600000000015</v>
      </c>
      <c r="X627">
        <f t="shared" si="67"/>
        <v>8</v>
      </c>
      <c r="Y627" cm="1">
        <f t="array" ref="Y627">_xlfn.IFS(H627=0.1,1,H627=0.15,1,H627=0.05,1,H627=0,0)</f>
        <v>1</v>
      </c>
      <c r="Z627">
        <f t="shared" si="68"/>
        <v>12</v>
      </c>
      <c r="AA627">
        <f t="shared" si="69"/>
        <v>2023</v>
      </c>
    </row>
    <row r="628" spans="1:27" x14ac:dyDescent="0.3">
      <c r="A628" s="2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1284</v>
      </c>
      <c r="O628" t="s">
        <v>1285</v>
      </c>
      <c r="P628">
        <v>14.61</v>
      </c>
      <c r="Q628" s="2">
        <v>45483</v>
      </c>
      <c r="R628" s="2">
        <v>45492</v>
      </c>
      <c r="S628" t="s">
        <v>38</v>
      </c>
      <c r="T628">
        <f t="shared" si="63"/>
        <v>10099.01</v>
      </c>
      <c r="U628">
        <f t="shared" si="64"/>
        <v>0</v>
      </c>
      <c r="V628">
        <f t="shared" si="65"/>
        <v>10084.400000000001</v>
      </c>
      <c r="W628">
        <f t="shared" si="66"/>
        <v>0</v>
      </c>
      <c r="X628">
        <f t="shared" si="67"/>
        <v>9</v>
      </c>
      <c r="Y628" cm="1">
        <f t="array" ref="Y628">_xlfn.IFS(H628=0.1,1,H628=0.15,1,H628=0.05,1,H628=0,0)</f>
        <v>0</v>
      </c>
      <c r="Z628">
        <f t="shared" si="68"/>
        <v>0</v>
      </c>
      <c r="AA628">
        <f t="shared" si="69"/>
        <v>2024</v>
      </c>
    </row>
    <row r="629" spans="1:27" x14ac:dyDescent="0.3">
      <c r="A629" s="2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1286</v>
      </c>
      <c r="O629" t="s">
        <v>1287</v>
      </c>
      <c r="P629">
        <v>39.01</v>
      </c>
      <c r="Q629" s="2">
        <v>44932</v>
      </c>
      <c r="R629" s="2">
        <v>44941</v>
      </c>
      <c r="S629" t="s">
        <v>28</v>
      </c>
      <c r="T629">
        <f t="shared" si="63"/>
        <v>1259.068</v>
      </c>
      <c r="U629">
        <f t="shared" si="64"/>
        <v>10</v>
      </c>
      <c r="V629">
        <f t="shared" si="65"/>
        <v>1355.62</v>
      </c>
      <c r="W629">
        <f t="shared" si="66"/>
        <v>135.5619999999999</v>
      </c>
      <c r="X629">
        <f t="shared" si="67"/>
        <v>9</v>
      </c>
      <c r="Y629" cm="1">
        <f t="array" ref="Y629">_xlfn.IFS(H629=0.1,1,H629=0.15,1,H629=0.05,1,H629=0,0)</f>
        <v>1</v>
      </c>
      <c r="Z629">
        <f t="shared" si="68"/>
        <v>7</v>
      </c>
      <c r="AA629">
        <f t="shared" si="69"/>
        <v>2023</v>
      </c>
    </row>
    <row r="630" spans="1:27" x14ac:dyDescent="0.3">
      <c r="A630" s="2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1288</v>
      </c>
      <c r="O630" t="s">
        <v>1289</v>
      </c>
      <c r="P630">
        <v>17.2</v>
      </c>
      <c r="Q630" s="2">
        <v>45346</v>
      </c>
      <c r="R630" s="2">
        <v>45351</v>
      </c>
      <c r="S630" t="s">
        <v>38</v>
      </c>
      <c r="T630">
        <f t="shared" si="63"/>
        <v>749.44100000000003</v>
      </c>
      <c r="U630">
        <f t="shared" si="64"/>
        <v>10</v>
      </c>
      <c r="V630">
        <f t="shared" si="65"/>
        <v>812.49</v>
      </c>
      <c r="W630">
        <f t="shared" si="66"/>
        <v>81.249000000000024</v>
      </c>
      <c r="X630">
        <f t="shared" si="67"/>
        <v>5</v>
      </c>
      <c r="Y630" cm="1">
        <f t="array" ref="Y630">_xlfn.IFS(H630=0.1,1,H630=0.15,1,H630=0.05,1,H630=0,0)</f>
        <v>1</v>
      </c>
      <c r="Z630">
        <f t="shared" si="68"/>
        <v>3</v>
      </c>
      <c r="AA630">
        <f t="shared" si="69"/>
        <v>2024</v>
      </c>
    </row>
    <row r="631" spans="1:27" x14ac:dyDescent="0.3">
      <c r="A631" s="2">
        <v>45271</v>
      </c>
      <c r="B631" t="s">
        <v>45</v>
      </c>
      <c r="C631" t="s">
        <v>81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1290</v>
      </c>
      <c r="O631" t="s">
        <v>1291</v>
      </c>
      <c r="P631">
        <v>8.67</v>
      </c>
      <c r="Q631" s="2">
        <v>45271</v>
      </c>
      <c r="R631" s="2">
        <v>45280</v>
      </c>
      <c r="S631" t="s">
        <v>50</v>
      </c>
      <c r="T631">
        <f t="shared" si="63"/>
        <v>1127.1100000000001</v>
      </c>
      <c r="U631">
        <f t="shared" si="64"/>
        <v>0</v>
      </c>
      <c r="V631">
        <f t="shared" si="65"/>
        <v>1117.44</v>
      </c>
      <c r="W631">
        <f t="shared" si="66"/>
        <v>0</v>
      </c>
      <c r="X631">
        <f t="shared" si="67"/>
        <v>9</v>
      </c>
      <c r="Y631" cm="1">
        <f t="array" ref="Y631">_xlfn.IFS(H631=0.1,1,H631=0.15,1,H631=0.05,1,H631=0,0)</f>
        <v>0</v>
      </c>
      <c r="Z631">
        <f t="shared" si="68"/>
        <v>0</v>
      </c>
      <c r="AA631">
        <f t="shared" si="69"/>
        <v>2023</v>
      </c>
    </row>
    <row r="632" spans="1:27" x14ac:dyDescent="0.3">
      <c r="A632" s="2">
        <v>45707</v>
      </c>
      <c r="B632" t="s">
        <v>29</v>
      </c>
      <c r="C632" t="s">
        <v>132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62</v>
      </c>
      <c r="L632" t="s">
        <v>25</v>
      </c>
      <c r="M632">
        <v>1</v>
      </c>
      <c r="N632" t="s">
        <v>1292</v>
      </c>
      <c r="O632" t="s">
        <v>1293</v>
      </c>
      <c r="P632">
        <v>22.84</v>
      </c>
      <c r="Q632" s="2">
        <v>45707</v>
      </c>
      <c r="R632" s="2">
        <v>45711</v>
      </c>
      <c r="S632" t="s">
        <v>38</v>
      </c>
      <c r="T632">
        <f t="shared" si="63"/>
        <v>4754.5659999999998</v>
      </c>
      <c r="U632">
        <f t="shared" si="64"/>
        <v>15</v>
      </c>
      <c r="V632">
        <f t="shared" si="65"/>
        <v>5565.5599999999995</v>
      </c>
      <c r="W632">
        <f t="shared" si="66"/>
        <v>834.83399999999983</v>
      </c>
      <c r="X632">
        <f t="shared" si="67"/>
        <v>4</v>
      </c>
      <c r="Y632" cm="1">
        <f t="array" ref="Y632">_xlfn.IFS(H632=0.1,1,H632=0.15,1,H632=0.05,1,H632=0,0)</f>
        <v>1</v>
      </c>
      <c r="Z632">
        <f t="shared" si="68"/>
        <v>11</v>
      </c>
      <c r="AA632">
        <f t="shared" si="69"/>
        <v>2025</v>
      </c>
    </row>
    <row r="633" spans="1:27" x14ac:dyDescent="0.3">
      <c r="A633" s="2">
        <v>45734</v>
      </c>
      <c r="B633" t="s">
        <v>71</v>
      </c>
      <c r="C633" t="s">
        <v>81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62</v>
      </c>
      <c r="L633" t="s">
        <v>41</v>
      </c>
      <c r="M633">
        <v>0</v>
      </c>
      <c r="N633" t="s">
        <v>1294</v>
      </c>
      <c r="O633" t="s">
        <v>1295</v>
      </c>
      <c r="P633">
        <v>31.91</v>
      </c>
      <c r="Q633" s="2">
        <v>45734</v>
      </c>
      <c r="R633" s="2">
        <v>45742</v>
      </c>
      <c r="S633" t="s">
        <v>74</v>
      </c>
      <c r="T633">
        <f t="shared" si="63"/>
        <v>244.274</v>
      </c>
      <c r="U633">
        <f t="shared" si="64"/>
        <v>15</v>
      </c>
      <c r="V633">
        <f t="shared" si="65"/>
        <v>249.84</v>
      </c>
      <c r="W633">
        <f t="shared" si="66"/>
        <v>37.475999999999999</v>
      </c>
      <c r="X633">
        <f t="shared" si="67"/>
        <v>8</v>
      </c>
      <c r="Y633" cm="1">
        <f t="array" ref="Y633">_xlfn.IFS(H633=0.1,1,H633=0.15,1,H633=0.05,1,H633=0,0)</f>
        <v>1</v>
      </c>
      <c r="Z633">
        <f t="shared" si="68"/>
        <v>4</v>
      </c>
      <c r="AA633">
        <f t="shared" si="69"/>
        <v>2025</v>
      </c>
    </row>
    <row r="634" spans="1:27" x14ac:dyDescent="0.3">
      <c r="A634" s="2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L634" t="s">
        <v>59</v>
      </c>
      <c r="M634">
        <v>1</v>
      </c>
      <c r="N634" t="s">
        <v>1296</v>
      </c>
      <c r="O634" t="s">
        <v>1297</v>
      </c>
      <c r="P634">
        <v>44.37</v>
      </c>
      <c r="Q634" s="2">
        <v>45191</v>
      </c>
      <c r="R634" s="2">
        <v>45196</v>
      </c>
      <c r="S634" t="s">
        <v>38</v>
      </c>
      <c r="T634">
        <f t="shared" si="63"/>
        <v>3069.8739999999998</v>
      </c>
      <c r="U634">
        <f t="shared" si="64"/>
        <v>10</v>
      </c>
      <c r="V634">
        <f t="shared" si="65"/>
        <v>3360.56</v>
      </c>
      <c r="W634">
        <f t="shared" si="66"/>
        <v>336.05600000000004</v>
      </c>
      <c r="X634">
        <f t="shared" si="67"/>
        <v>5</v>
      </c>
      <c r="Y634" cm="1">
        <f t="array" ref="Y634">_xlfn.IFS(H634=0.1,1,H634=0.15,1,H634=0.05,1,H634=0,0)</f>
        <v>1</v>
      </c>
      <c r="Z634">
        <f t="shared" si="68"/>
        <v>7</v>
      </c>
      <c r="AA634">
        <f t="shared" si="69"/>
        <v>2023</v>
      </c>
    </row>
    <row r="635" spans="1:27" x14ac:dyDescent="0.3">
      <c r="A635" s="2">
        <v>45283</v>
      </c>
      <c r="B635" t="s">
        <v>71</v>
      </c>
      <c r="C635" t="s">
        <v>81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68</v>
      </c>
      <c r="J635">
        <v>1091.8800000000001</v>
      </c>
      <c r="K635" t="s">
        <v>24</v>
      </c>
      <c r="L635" t="s">
        <v>25</v>
      </c>
      <c r="M635">
        <v>1</v>
      </c>
      <c r="N635" t="s">
        <v>1298</v>
      </c>
      <c r="O635" t="s">
        <v>1299</v>
      </c>
      <c r="P635">
        <v>10.08</v>
      </c>
      <c r="Q635" s="2">
        <v>45283</v>
      </c>
      <c r="R635" s="2">
        <v>45288</v>
      </c>
      <c r="S635" t="s">
        <v>74</v>
      </c>
      <c r="T635">
        <f t="shared" si="63"/>
        <v>1102.96</v>
      </c>
      <c r="U635">
        <f t="shared" si="64"/>
        <v>0</v>
      </c>
      <c r="V635">
        <f t="shared" si="65"/>
        <v>1091.8799999999999</v>
      </c>
      <c r="W635">
        <f t="shared" si="66"/>
        <v>0</v>
      </c>
      <c r="X635">
        <f t="shared" si="67"/>
        <v>5</v>
      </c>
      <c r="Y635" cm="1">
        <f t="array" ref="Y635">_xlfn.IFS(H635=0.1,1,H635=0.15,1,H635=0.05,1,H635=0,0)</f>
        <v>0</v>
      </c>
      <c r="Z635">
        <f t="shared" si="68"/>
        <v>0</v>
      </c>
      <c r="AA635">
        <f t="shared" si="69"/>
        <v>2023</v>
      </c>
    </row>
    <row r="636" spans="1:27" x14ac:dyDescent="0.3">
      <c r="A636" s="2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65</v>
      </c>
      <c r="L636" t="s">
        <v>59</v>
      </c>
      <c r="M636">
        <v>0</v>
      </c>
      <c r="N636" t="s">
        <v>1300</v>
      </c>
      <c r="O636" t="s">
        <v>1301</v>
      </c>
      <c r="P636">
        <v>20.38</v>
      </c>
      <c r="Q636" s="2">
        <v>45781</v>
      </c>
      <c r="R636" s="2">
        <v>45787</v>
      </c>
      <c r="S636" t="s">
        <v>44</v>
      </c>
      <c r="T636">
        <f t="shared" si="63"/>
        <v>1440.1930000000002</v>
      </c>
      <c r="U636">
        <f t="shared" si="64"/>
        <v>5</v>
      </c>
      <c r="V636">
        <f t="shared" si="65"/>
        <v>1494.54</v>
      </c>
      <c r="W636">
        <f t="shared" si="66"/>
        <v>74.726999999999862</v>
      </c>
      <c r="X636">
        <f t="shared" si="67"/>
        <v>6</v>
      </c>
      <c r="Y636" cm="1">
        <f t="array" ref="Y636">_xlfn.IFS(H636=0.1,1,H636=0.15,1,H636=0.05,1,H636=0,0)</f>
        <v>1</v>
      </c>
      <c r="Z636">
        <f t="shared" si="68"/>
        <v>6</v>
      </c>
      <c r="AA636">
        <f t="shared" si="69"/>
        <v>2025</v>
      </c>
    </row>
    <row r="637" spans="1:27" x14ac:dyDescent="0.3">
      <c r="A637" s="2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7200.9000000000005</v>
      </c>
      <c r="K637" t="s">
        <v>62</v>
      </c>
      <c r="L637" t="s">
        <v>41</v>
      </c>
      <c r="M637">
        <v>0</v>
      </c>
      <c r="N637" t="s">
        <v>1302</v>
      </c>
      <c r="O637" t="s">
        <v>1303</v>
      </c>
      <c r="P637">
        <v>24.41</v>
      </c>
      <c r="Q637" s="2">
        <v>45668</v>
      </c>
      <c r="R637" s="2">
        <v>45670</v>
      </c>
      <c r="S637" t="s">
        <v>28</v>
      </c>
      <c r="T637">
        <f t="shared" si="63"/>
        <v>7225.31</v>
      </c>
      <c r="U637">
        <f t="shared" si="64"/>
        <v>10</v>
      </c>
      <c r="V637">
        <f t="shared" si="65"/>
        <v>8001</v>
      </c>
      <c r="W637">
        <f t="shared" si="66"/>
        <v>800.09999999999945</v>
      </c>
      <c r="X637">
        <f t="shared" si="67"/>
        <v>2</v>
      </c>
      <c r="Y637" cm="1">
        <f t="array" ref="Y637">_xlfn.IFS(H637=0.1,1,H637=0.15,1,H637=0.05,1,H637=0,0)</f>
        <v>1</v>
      </c>
      <c r="Z637">
        <f t="shared" si="68"/>
        <v>20</v>
      </c>
      <c r="AA637">
        <f t="shared" si="69"/>
        <v>2025</v>
      </c>
    </row>
    <row r="638" spans="1:27" x14ac:dyDescent="0.3">
      <c r="A638" s="2">
        <v>45768</v>
      </c>
      <c r="B638" t="s">
        <v>29</v>
      </c>
      <c r="C638" t="s">
        <v>132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1304</v>
      </c>
      <c r="O638" t="s">
        <v>1305</v>
      </c>
      <c r="P638">
        <v>43.21</v>
      </c>
      <c r="Q638" s="2">
        <v>45768</v>
      </c>
      <c r="R638" s="2">
        <v>45771</v>
      </c>
      <c r="S638" t="s">
        <v>38</v>
      </c>
      <c r="T638">
        <f t="shared" si="63"/>
        <v>167.53649999999999</v>
      </c>
      <c r="U638">
        <f t="shared" si="64"/>
        <v>5</v>
      </c>
      <c r="V638">
        <f t="shared" si="65"/>
        <v>130.87</v>
      </c>
      <c r="W638">
        <f t="shared" si="66"/>
        <v>6.5435000000000088</v>
      </c>
      <c r="X638">
        <f t="shared" si="67"/>
        <v>3</v>
      </c>
      <c r="Y638" cm="1">
        <f t="array" ref="Y638">_xlfn.IFS(H638=0.1,1,H638=0.15,1,H638=0.05,1,H638=0,0)</f>
        <v>1</v>
      </c>
      <c r="Z638">
        <f t="shared" si="68"/>
        <v>1</v>
      </c>
      <c r="AA638">
        <f t="shared" si="69"/>
        <v>2025</v>
      </c>
    </row>
    <row r="639" spans="1:27" x14ac:dyDescent="0.3">
      <c r="A639" s="2">
        <v>45273</v>
      </c>
      <c r="B639" t="s">
        <v>45</v>
      </c>
      <c r="C639" t="s">
        <v>81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1306</v>
      </c>
      <c r="O639" t="s">
        <v>1307</v>
      </c>
      <c r="P639">
        <v>44.61</v>
      </c>
      <c r="Q639" s="2">
        <v>45273</v>
      </c>
      <c r="R639" s="2">
        <v>45282</v>
      </c>
      <c r="S639" t="s">
        <v>50</v>
      </c>
      <c r="T639">
        <f t="shared" si="63"/>
        <v>1288.9079999999999</v>
      </c>
      <c r="U639">
        <f t="shared" si="64"/>
        <v>15</v>
      </c>
      <c r="V639">
        <f t="shared" si="65"/>
        <v>1463.88</v>
      </c>
      <c r="W639">
        <f t="shared" si="66"/>
        <v>219.58200000000011</v>
      </c>
      <c r="X639">
        <f t="shared" si="67"/>
        <v>9</v>
      </c>
      <c r="Y639" cm="1">
        <f t="array" ref="Y639">_xlfn.IFS(H639=0.1,1,H639=0.15,1,H639=0.05,1,H639=0,0)</f>
        <v>1</v>
      </c>
      <c r="Z639">
        <f t="shared" si="68"/>
        <v>11</v>
      </c>
      <c r="AA639">
        <f t="shared" si="69"/>
        <v>2023</v>
      </c>
    </row>
    <row r="640" spans="1:27" x14ac:dyDescent="0.3">
      <c r="A640" s="2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1308</v>
      </c>
      <c r="O640" t="s">
        <v>1309</v>
      </c>
      <c r="P640">
        <v>16.82</v>
      </c>
      <c r="Q640" s="2">
        <v>45329</v>
      </c>
      <c r="R640" s="2">
        <v>45333</v>
      </c>
      <c r="S640" t="s">
        <v>28</v>
      </c>
      <c r="T640">
        <f t="shared" si="63"/>
        <v>5267.3759999999993</v>
      </c>
      <c r="U640">
        <f t="shared" si="64"/>
        <v>10</v>
      </c>
      <c r="V640">
        <f t="shared" si="65"/>
        <v>5832.84</v>
      </c>
      <c r="W640">
        <f t="shared" si="66"/>
        <v>583.28400000000056</v>
      </c>
      <c r="X640">
        <f t="shared" si="67"/>
        <v>4</v>
      </c>
      <c r="Y640" cm="1">
        <f t="array" ref="Y640">_xlfn.IFS(H640=0.1,1,H640=0.15,1,H640=0.05,1,H640=0,0)</f>
        <v>1</v>
      </c>
      <c r="Z640">
        <f t="shared" si="68"/>
        <v>13</v>
      </c>
      <c r="AA640">
        <f t="shared" si="69"/>
        <v>2024</v>
      </c>
    </row>
    <row r="641" spans="1:27" x14ac:dyDescent="0.3">
      <c r="A641" s="2">
        <v>45406</v>
      </c>
      <c r="B641" t="s">
        <v>39</v>
      </c>
      <c r="C641" t="s">
        <v>81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688.36999999999989</v>
      </c>
      <c r="K641" t="s">
        <v>62</v>
      </c>
      <c r="L641" t="s">
        <v>41</v>
      </c>
      <c r="M641">
        <v>0</v>
      </c>
      <c r="N641" t="s">
        <v>1310</v>
      </c>
      <c r="O641" t="s">
        <v>1311</v>
      </c>
      <c r="P641">
        <v>33.94</v>
      </c>
      <c r="Q641" s="2">
        <v>45406</v>
      </c>
      <c r="R641" s="2">
        <v>45409</v>
      </c>
      <c r="S641" t="s">
        <v>44</v>
      </c>
      <c r="T641">
        <f t="shared" si="63"/>
        <v>722.31</v>
      </c>
      <c r="U641">
        <f t="shared" si="64"/>
        <v>0</v>
      </c>
      <c r="V641">
        <f t="shared" si="65"/>
        <v>688.36999999999989</v>
      </c>
      <c r="W641">
        <f t="shared" si="66"/>
        <v>0</v>
      </c>
      <c r="X641">
        <f t="shared" si="67"/>
        <v>3</v>
      </c>
      <c r="Y641" cm="1">
        <f t="array" ref="Y641">_xlfn.IFS(H641=0.1,1,H641=0.15,1,H641=0.05,1,H641=0,0)</f>
        <v>0</v>
      </c>
      <c r="Z641">
        <f t="shared" si="68"/>
        <v>0</v>
      </c>
      <c r="AA641">
        <f t="shared" si="69"/>
        <v>2024</v>
      </c>
    </row>
    <row r="642" spans="1:27" x14ac:dyDescent="0.3">
      <c r="A642" s="2">
        <v>45180</v>
      </c>
      <c r="B642" t="s">
        <v>71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65</v>
      </c>
      <c r="L642" t="s">
        <v>25</v>
      </c>
      <c r="M642">
        <v>0</v>
      </c>
      <c r="N642" t="s">
        <v>1312</v>
      </c>
      <c r="O642" t="s">
        <v>726</v>
      </c>
      <c r="P642">
        <v>25.35</v>
      </c>
      <c r="Q642" s="2">
        <v>45180</v>
      </c>
      <c r="R642" s="2">
        <v>45185</v>
      </c>
      <c r="S642" t="s">
        <v>74</v>
      </c>
      <c r="T642">
        <f t="shared" si="63"/>
        <v>1618.1299999999999</v>
      </c>
      <c r="U642">
        <f t="shared" si="64"/>
        <v>0</v>
      </c>
      <c r="V642">
        <f t="shared" si="65"/>
        <v>1592.78</v>
      </c>
      <c r="W642">
        <f t="shared" si="66"/>
        <v>0</v>
      </c>
      <c r="X642">
        <f t="shared" si="67"/>
        <v>5</v>
      </c>
      <c r="Y642" cm="1">
        <f t="array" ref="Y642">_xlfn.IFS(H642=0.1,1,H642=0.15,1,H642=0.05,1,H642=0,0)</f>
        <v>0</v>
      </c>
      <c r="Z642">
        <f t="shared" si="68"/>
        <v>0</v>
      </c>
      <c r="AA642">
        <f t="shared" si="69"/>
        <v>2023</v>
      </c>
    </row>
    <row r="643" spans="1:27" x14ac:dyDescent="0.3">
      <c r="A643" s="2">
        <v>45817</v>
      </c>
      <c r="B643" t="s">
        <v>45</v>
      </c>
      <c r="C643" t="s">
        <v>132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1313</v>
      </c>
      <c r="O643" t="s">
        <v>1314</v>
      </c>
      <c r="P643">
        <v>23.69</v>
      </c>
      <c r="Q643" s="2">
        <v>45817</v>
      </c>
      <c r="R643" s="2">
        <v>45820</v>
      </c>
      <c r="S643" t="s">
        <v>50</v>
      </c>
      <c r="T643">
        <f t="shared" ref="T643:T706" si="70">SUM(J643:P643)</f>
        <v>202.89</v>
      </c>
      <c r="U643">
        <f t="shared" ref="U643:U706" si="71">PRODUCT(100,H643)</f>
        <v>0</v>
      </c>
      <c r="V643">
        <f t="shared" ref="V643:V706" si="72">PRODUCT(D643:E643)</f>
        <v>179.2</v>
      </c>
      <c r="W643">
        <f t="shared" ref="W643:W706" si="73" xml:space="preserve"> V643-J643</f>
        <v>0</v>
      </c>
      <c r="X643">
        <f t="shared" ref="X643:X706" si="74">R643-Q643</f>
        <v>3</v>
      </c>
      <c r="Y643" cm="1">
        <f t="array" ref="Y643">_xlfn.IFS(H643=0.1,1,H643=0.15,1,H643=0.05,1,H643=0,0)</f>
        <v>0</v>
      </c>
      <c r="Z643">
        <f t="shared" ref="Z643:Z706" si="75">PRODUCT(Y643,D643)</f>
        <v>0</v>
      </c>
      <c r="AA643">
        <f t="shared" ref="AA643:AA706" si="76">YEAR(A643)</f>
        <v>2025</v>
      </c>
    </row>
    <row r="644" spans="1:27" x14ac:dyDescent="0.3">
      <c r="A644" s="2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62</v>
      </c>
      <c r="L644" t="s">
        <v>35</v>
      </c>
      <c r="M644">
        <v>0</v>
      </c>
      <c r="N644" t="s">
        <v>1315</v>
      </c>
      <c r="O644" t="s">
        <v>1316</v>
      </c>
      <c r="P644">
        <v>9.86</v>
      </c>
      <c r="Q644" s="2">
        <v>45814</v>
      </c>
      <c r="R644" s="2">
        <v>45824</v>
      </c>
      <c r="S644" t="s">
        <v>28</v>
      </c>
      <c r="T644">
        <f t="shared" si="70"/>
        <v>1009.256</v>
      </c>
      <c r="U644">
        <f t="shared" si="71"/>
        <v>15</v>
      </c>
      <c r="V644">
        <f t="shared" si="72"/>
        <v>1175.76</v>
      </c>
      <c r="W644">
        <f t="shared" si="73"/>
        <v>176.36400000000003</v>
      </c>
      <c r="X644">
        <f t="shared" si="74"/>
        <v>10</v>
      </c>
      <c r="Y644" cm="1">
        <f t="array" ref="Y644">_xlfn.IFS(H644=0.1,1,H644=0.15,1,H644=0.05,1,H644=0,0)</f>
        <v>1</v>
      </c>
      <c r="Z644">
        <f t="shared" si="75"/>
        <v>3</v>
      </c>
      <c r="AA644">
        <f t="shared" si="76"/>
        <v>2025</v>
      </c>
    </row>
    <row r="645" spans="1:27" x14ac:dyDescent="0.3">
      <c r="A645" s="2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68</v>
      </c>
      <c r="J645">
        <v>3770.37</v>
      </c>
      <c r="K645" t="s">
        <v>58</v>
      </c>
      <c r="L645" t="s">
        <v>25</v>
      </c>
      <c r="M645">
        <v>0</v>
      </c>
      <c r="N645" t="s">
        <v>1317</v>
      </c>
      <c r="O645" t="s">
        <v>1318</v>
      </c>
      <c r="P645">
        <v>45.63</v>
      </c>
      <c r="Q645" s="2">
        <v>45649</v>
      </c>
      <c r="R645" s="2">
        <v>45654</v>
      </c>
      <c r="S645" t="s">
        <v>38</v>
      </c>
      <c r="T645">
        <f t="shared" si="70"/>
        <v>3816</v>
      </c>
      <c r="U645">
        <f t="shared" si="71"/>
        <v>10</v>
      </c>
      <c r="V645">
        <f t="shared" si="72"/>
        <v>4189.3</v>
      </c>
      <c r="W645">
        <f t="shared" si="73"/>
        <v>418.93000000000029</v>
      </c>
      <c r="X645">
        <f t="shared" si="74"/>
        <v>5</v>
      </c>
      <c r="Y645" cm="1">
        <f t="array" ref="Y645">_xlfn.IFS(H645=0.1,1,H645=0.15,1,H645=0.05,1,H645=0,0)</f>
        <v>1</v>
      </c>
      <c r="Z645">
        <f t="shared" si="75"/>
        <v>10</v>
      </c>
      <c r="AA645">
        <f t="shared" si="76"/>
        <v>2024</v>
      </c>
    </row>
    <row r="646" spans="1:27" x14ac:dyDescent="0.3">
      <c r="A646" s="2">
        <v>45165</v>
      </c>
      <c r="B646" t="s">
        <v>19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1319</v>
      </c>
      <c r="O646" t="s">
        <v>1320</v>
      </c>
      <c r="P646">
        <v>5.48</v>
      </c>
      <c r="Q646" s="2">
        <v>45165</v>
      </c>
      <c r="R646" s="2">
        <v>45172</v>
      </c>
      <c r="S646" t="s">
        <v>28</v>
      </c>
      <c r="T646">
        <f t="shared" si="70"/>
        <v>3643.56</v>
      </c>
      <c r="U646">
        <f t="shared" si="71"/>
        <v>0</v>
      </c>
      <c r="V646">
        <f t="shared" si="72"/>
        <v>3637.08</v>
      </c>
      <c r="W646">
        <f t="shared" si="73"/>
        <v>0</v>
      </c>
      <c r="X646">
        <f t="shared" si="74"/>
        <v>7</v>
      </c>
      <c r="Y646" cm="1">
        <f t="array" ref="Y646">_xlfn.IFS(H646=0.1,1,H646=0.15,1,H646=0.05,1,H646=0,0)</f>
        <v>0</v>
      </c>
      <c r="Z646">
        <f t="shared" si="75"/>
        <v>0</v>
      </c>
      <c r="AA646">
        <f t="shared" si="76"/>
        <v>2023</v>
      </c>
    </row>
    <row r="647" spans="1:27" x14ac:dyDescent="0.3">
      <c r="A647" s="2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65</v>
      </c>
      <c r="L647" t="s">
        <v>41</v>
      </c>
      <c r="M647">
        <v>0</v>
      </c>
      <c r="N647" t="s">
        <v>1321</v>
      </c>
      <c r="O647" t="s">
        <v>1322</v>
      </c>
      <c r="P647">
        <v>10.99</v>
      </c>
      <c r="Q647" s="2">
        <v>44935</v>
      </c>
      <c r="R647" s="2">
        <v>44939</v>
      </c>
      <c r="S647" t="s">
        <v>28</v>
      </c>
      <c r="T647">
        <f t="shared" si="70"/>
        <v>1900.54</v>
      </c>
      <c r="U647">
        <f t="shared" si="71"/>
        <v>10</v>
      </c>
      <c r="V647">
        <f t="shared" si="72"/>
        <v>2099.5</v>
      </c>
      <c r="W647">
        <f t="shared" si="73"/>
        <v>209.95000000000005</v>
      </c>
      <c r="X647">
        <f t="shared" si="74"/>
        <v>4</v>
      </c>
      <c r="Y647" cm="1">
        <f t="array" ref="Y647">_xlfn.IFS(H647=0.1,1,H647=0.15,1,H647=0.05,1,H647=0,0)</f>
        <v>1</v>
      </c>
      <c r="Z647">
        <f t="shared" si="75"/>
        <v>10</v>
      </c>
      <c r="AA647">
        <f t="shared" si="76"/>
        <v>2023</v>
      </c>
    </row>
    <row r="648" spans="1:27" x14ac:dyDescent="0.3">
      <c r="A648" s="2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65</v>
      </c>
      <c r="L648" t="s">
        <v>35</v>
      </c>
      <c r="M648">
        <v>0</v>
      </c>
      <c r="N648" t="s">
        <v>1323</v>
      </c>
      <c r="O648" t="s">
        <v>1324</v>
      </c>
      <c r="P648">
        <v>49.91</v>
      </c>
      <c r="Q648" s="2">
        <v>45769</v>
      </c>
      <c r="R648" s="2">
        <v>45772</v>
      </c>
      <c r="S648" t="s">
        <v>28</v>
      </c>
      <c r="T648">
        <f t="shared" si="70"/>
        <v>2092.0459999999998</v>
      </c>
      <c r="U648">
        <f t="shared" si="71"/>
        <v>10</v>
      </c>
      <c r="V648">
        <f t="shared" si="72"/>
        <v>2269.04</v>
      </c>
      <c r="W648">
        <f t="shared" si="73"/>
        <v>226.904</v>
      </c>
      <c r="X648">
        <f t="shared" si="74"/>
        <v>3</v>
      </c>
      <c r="Y648" cm="1">
        <f t="array" ref="Y648">_xlfn.IFS(H648=0.1,1,H648=0.15,1,H648=0.05,1,H648=0,0)</f>
        <v>1</v>
      </c>
      <c r="Z648">
        <f t="shared" si="75"/>
        <v>8</v>
      </c>
      <c r="AA648">
        <f t="shared" si="76"/>
        <v>2025</v>
      </c>
    </row>
    <row r="649" spans="1:27" x14ac:dyDescent="0.3">
      <c r="A649" s="2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L649" t="s">
        <v>59</v>
      </c>
      <c r="M649">
        <v>0</v>
      </c>
      <c r="N649" t="s">
        <v>1325</v>
      </c>
      <c r="O649" t="s">
        <v>1326</v>
      </c>
      <c r="P649">
        <v>48.92</v>
      </c>
      <c r="Q649" s="2">
        <v>45175</v>
      </c>
      <c r="R649" s="2">
        <v>45180</v>
      </c>
      <c r="S649" t="s">
        <v>38</v>
      </c>
      <c r="T649">
        <f t="shared" si="70"/>
        <v>164.58800000000002</v>
      </c>
      <c r="U649">
        <f t="shared" si="71"/>
        <v>10</v>
      </c>
      <c r="V649">
        <f t="shared" si="72"/>
        <v>128.51999999999998</v>
      </c>
      <c r="W649">
        <f t="shared" si="73"/>
        <v>12.851999999999975</v>
      </c>
      <c r="X649">
        <f t="shared" si="74"/>
        <v>5</v>
      </c>
      <c r="Y649" cm="1">
        <f t="array" ref="Y649">_xlfn.IFS(H649=0.1,1,H649=0.15,1,H649=0.05,1,H649=0,0)</f>
        <v>1</v>
      </c>
      <c r="Z649">
        <f t="shared" si="75"/>
        <v>7</v>
      </c>
      <c r="AA649">
        <f t="shared" si="76"/>
        <v>2023</v>
      </c>
    </row>
    <row r="650" spans="1:27" x14ac:dyDescent="0.3">
      <c r="A650" s="2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62</v>
      </c>
      <c r="L650" t="s">
        <v>35</v>
      </c>
      <c r="M650">
        <v>0</v>
      </c>
      <c r="N650" t="s">
        <v>1327</v>
      </c>
      <c r="O650" t="s">
        <v>1328</v>
      </c>
      <c r="P650">
        <v>39.979999999999997</v>
      </c>
      <c r="Q650" s="2">
        <v>44947</v>
      </c>
      <c r="R650" s="2">
        <v>44953</v>
      </c>
      <c r="S650" t="s">
        <v>28</v>
      </c>
      <c r="T650">
        <f t="shared" si="70"/>
        <v>3890.558</v>
      </c>
      <c r="U650">
        <f t="shared" si="71"/>
        <v>10</v>
      </c>
      <c r="V650">
        <f t="shared" si="72"/>
        <v>4278.42</v>
      </c>
      <c r="W650">
        <f t="shared" si="73"/>
        <v>427.8420000000001</v>
      </c>
      <c r="X650">
        <f t="shared" si="74"/>
        <v>6</v>
      </c>
      <c r="Y650" cm="1">
        <f t="array" ref="Y650">_xlfn.IFS(H650=0.1,1,H650=0.15,1,H650=0.05,1,H650=0,0)</f>
        <v>1</v>
      </c>
      <c r="Z650">
        <f t="shared" si="75"/>
        <v>9</v>
      </c>
      <c r="AA650">
        <f t="shared" si="76"/>
        <v>2023</v>
      </c>
    </row>
    <row r="651" spans="1:27" x14ac:dyDescent="0.3">
      <c r="A651" s="2">
        <v>45408</v>
      </c>
      <c r="B651" t="s">
        <v>45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7103.0399999999991</v>
      </c>
      <c r="K651" t="s">
        <v>62</v>
      </c>
      <c r="L651" t="s">
        <v>35</v>
      </c>
      <c r="M651">
        <v>0</v>
      </c>
      <c r="N651" t="s">
        <v>1329</v>
      </c>
      <c r="O651" t="s">
        <v>1330</v>
      </c>
      <c r="P651">
        <v>25.2</v>
      </c>
      <c r="Q651" s="2">
        <v>45408</v>
      </c>
      <c r="R651" s="2">
        <v>45418</v>
      </c>
      <c r="S651" t="s">
        <v>50</v>
      </c>
      <c r="T651">
        <f t="shared" si="70"/>
        <v>7128.2399999999989</v>
      </c>
      <c r="U651">
        <f t="shared" si="71"/>
        <v>0</v>
      </c>
      <c r="V651">
        <f t="shared" si="72"/>
        <v>7103.0399999999991</v>
      </c>
      <c r="W651">
        <f t="shared" si="73"/>
        <v>0</v>
      </c>
      <c r="X651">
        <f t="shared" si="74"/>
        <v>10</v>
      </c>
      <c r="Y651" cm="1">
        <f t="array" ref="Y651">_xlfn.IFS(H651=0.1,1,H651=0.15,1,H651=0.05,1,H651=0,0)</f>
        <v>0</v>
      </c>
      <c r="Z651">
        <f t="shared" si="75"/>
        <v>0</v>
      </c>
      <c r="AA651">
        <f t="shared" si="76"/>
        <v>2024</v>
      </c>
    </row>
    <row r="652" spans="1:27" x14ac:dyDescent="0.3">
      <c r="A652" s="2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1331</v>
      </c>
      <c r="O652" t="s">
        <v>1332</v>
      </c>
      <c r="P652">
        <v>6.47</v>
      </c>
      <c r="Q652" s="2">
        <v>45104</v>
      </c>
      <c r="R652" s="2">
        <v>45107</v>
      </c>
      <c r="S652" t="s">
        <v>44</v>
      </c>
      <c r="T652">
        <f t="shared" si="70"/>
        <v>627.44950000000006</v>
      </c>
      <c r="U652">
        <f t="shared" si="71"/>
        <v>5</v>
      </c>
      <c r="V652">
        <f t="shared" si="72"/>
        <v>652.61</v>
      </c>
      <c r="W652">
        <f t="shared" si="73"/>
        <v>32.630499999999984</v>
      </c>
      <c r="X652">
        <f t="shared" si="74"/>
        <v>3</v>
      </c>
      <c r="Y652" cm="1">
        <f t="array" ref="Y652">_xlfn.IFS(H652=0.1,1,H652=0.15,1,H652=0.05,1,H652=0,0)</f>
        <v>1</v>
      </c>
      <c r="Z652">
        <f t="shared" si="75"/>
        <v>7</v>
      </c>
      <c r="AA652">
        <f t="shared" si="76"/>
        <v>2023</v>
      </c>
    </row>
    <row r="653" spans="1:27" x14ac:dyDescent="0.3">
      <c r="A653" s="2">
        <v>44927</v>
      </c>
      <c r="B653" t="s">
        <v>19</v>
      </c>
      <c r="C653" t="s">
        <v>81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68</v>
      </c>
      <c r="J653">
        <v>4480.6499999999996</v>
      </c>
      <c r="K653" t="s">
        <v>62</v>
      </c>
      <c r="L653" t="s">
        <v>35</v>
      </c>
      <c r="M653">
        <v>0</v>
      </c>
      <c r="N653" t="s">
        <v>1333</v>
      </c>
      <c r="O653" t="s">
        <v>1334</v>
      </c>
      <c r="P653">
        <v>11.38</v>
      </c>
      <c r="Q653" s="2">
        <v>44927</v>
      </c>
      <c r="R653" s="2">
        <v>44934</v>
      </c>
      <c r="S653" t="s">
        <v>28</v>
      </c>
      <c r="T653">
        <f t="shared" si="70"/>
        <v>4492.03</v>
      </c>
      <c r="U653">
        <f t="shared" si="71"/>
        <v>0</v>
      </c>
      <c r="V653">
        <f t="shared" si="72"/>
        <v>4480.6499999999996</v>
      </c>
      <c r="W653">
        <f t="shared" si="73"/>
        <v>0</v>
      </c>
      <c r="X653">
        <f t="shared" si="74"/>
        <v>7</v>
      </c>
      <c r="Y653" cm="1">
        <f t="array" ref="Y653">_xlfn.IFS(H653=0.1,1,H653=0.15,1,H653=0.05,1,H653=0,0)</f>
        <v>0</v>
      </c>
      <c r="Z653">
        <f t="shared" si="75"/>
        <v>0</v>
      </c>
      <c r="AA653">
        <f t="shared" si="76"/>
        <v>2023</v>
      </c>
    </row>
    <row r="654" spans="1:27" x14ac:dyDescent="0.3">
      <c r="A654" s="2">
        <v>45290</v>
      </c>
      <c r="B654" t="s">
        <v>71</v>
      </c>
      <c r="C654" t="s">
        <v>81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1335</v>
      </c>
      <c r="O654" t="s">
        <v>1336</v>
      </c>
      <c r="P654">
        <v>8.93</v>
      </c>
      <c r="Q654" s="2">
        <v>45290</v>
      </c>
      <c r="R654" s="2">
        <v>45293</v>
      </c>
      <c r="S654" t="s">
        <v>74</v>
      </c>
      <c r="T654">
        <f t="shared" si="70"/>
        <v>676.64749999999992</v>
      </c>
      <c r="U654">
        <f t="shared" si="71"/>
        <v>15</v>
      </c>
      <c r="V654">
        <f t="shared" si="72"/>
        <v>785.55</v>
      </c>
      <c r="W654">
        <f t="shared" si="73"/>
        <v>117.83249999999998</v>
      </c>
      <c r="X654">
        <f t="shared" si="74"/>
        <v>3</v>
      </c>
      <c r="Y654" cm="1">
        <f t="array" ref="Y654">_xlfn.IFS(H654=0.1,1,H654=0.15,1,H654=0.05,1,H654=0,0)</f>
        <v>1</v>
      </c>
      <c r="Z654">
        <f t="shared" si="75"/>
        <v>15</v>
      </c>
      <c r="AA654">
        <f t="shared" si="76"/>
        <v>2023</v>
      </c>
    </row>
    <row r="655" spans="1:27" x14ac:dyDescent="0.3">
      <c r="A655" s="2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L655" t="s">
        <v>59</v>
      </c>
      <c r="M655">
        <v>0</v>
      </c>
      <c r="N655" t="s">
        <v>1337</v>
      </c>
      <c r="O655" t="s">
        <v>1338</v>
      </c>
      <c r="P655">
        <v>8.6199999999999992</v>
      </c>
      <c r="Q655" s="2">
        <v>44948</v>
      </c>
      <c r="R655" s="2">
        <v>44950</v>
      </c>
      <c r="S655" t="s">
        <v>50</v>
      </c>
      <c r="T655">
        <f t="shared" si="70"/>
        <v>571.24599999999998</v>
      </c>
      <c r="U655">
        <f t="shared" si="71"/>
        <v>10</v>
      </c>
      <c r="V655">
        <f t="shared" si="72"/>
        <v>625.14</v>
      </c>
      <c r="W655">
        <f t="shared" si="73"/>
        <v>62.51400000000001</v>
      </c>
      <c r="X655">
        <f t="shared" si="74"/>
        <v>2</v>
      </c>
      <c r="Y655" cm="1">
        <f t="array" ref="Y655">_xlfn.IFS(H655=0.1,1,H655=0.15,1,H655=0.05,1,H655=0,0)</f>
        <v>1</v>
      </c>
      <c r="Z655">
        <f t="shared" si="75"/>
        <v>6</v>
      </c>
      <c r="AA655">
        <f t="shared" si="76"/>
        <v>2023</v>
      </c>
    </row>
    <row r="656" spans="1:27" x14ac:dyDescent="0.3">
      <c r="A656" s="2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</v>
      </c>
      <c r="K656" t="s">
        <v>58</v>
      </c>
      <c r="L656" t="s">
        <v>25</v>
      </c>
      <c r="M656">
        <v>0</v>
      </c>
      <c r="N656" t="s">
        <v>1339</v>
      </c>
      <c r="O656" t="s">
        <v>1340</v>
      </c>
      <c r="P656">
        <v>11.49</v>
      </c>
      <c r="Q656" s="2">
        <v>45500</v>
      </c>
      <c r="R656" s="2">
        <v>45509</v>
      </c>
      <c r="S656" t="s">
        <v>38</v>
      </c>
      <c r="T656">
        <f t="shared" si="70"/>
        <v>3758.9739999999988</v>
      </c>
      <c r="U656">
        <f t="shared" si="71"/>
        <v>5</v>
      </c>
      <c r="V656">
        <f t="shared" si="72"/>
        <v>3944.72</v>
      </c>
      <c r="W656">
        <f t="shared" si="73"/>
        <v>197.23600000000079</v>
      </c>
      <c r="X656">
        <f t="shared" si="74"/>
        <v>9</v>
      </c>
      <c r="Y656" cm="1">
        <f t="array" ref="Y656">_xlfn.IFS(H656=0.1,1,H656=0.15,1,H656=0.05,1,H656=0,0)</f>
        <v>1</v>
      </c>
      <c r="Z656">
        <f t="shared" si="75"/>
        <v>8</v>
      </c>
      <c r="AA656">
        <f t="shared" si="76"/>
        <v>2024</v>
      </c>
    </row>
    <row r="657" spans="1:27" x14ac:dyDescent="0.3">
      <c r="A657" s="2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1341</v>
      </c>
      <c r="O657" t="s">
        <v>1342</v>
      </c>
      <c r="P657">
        <v>30.25</v>
      </c>
      <c r="Q657" s="2">
        <v>45306</v>
      </c>
      <c r="R657" s="2">
        <v>45308</v>
      </c>
      <c r="S657" t="s">
        <v>38</v>
      </c>
      <c r="T657">
        <f t="shared" si="70"/>
        <v>1779.73</v>
      </c>
      <c r="U657">
        <f t="shared" si="71"/>
        <v>0</v>
      </c>
      <c r="V657">
        <f t="shared" si="72"/>
        <v>1749.48</v>
      </c>
      <c r="W657">
        <f t="shared" si="73"/>
        <v>0</v>
      </c>
      <c r="X657">
        <f t="shared" si="74"/>
        <v>2</v>
      </c>
      <c r="Y657" cm="1">
        <f t="array" ref="Y657">_xlfn.IFS(H657=0.1,1,H657=0.15,1,H657=0.05,1,H657=0,0)</f>
        <v>0</v>
      </c>
      <c r="Z657">
        <f t="shared" si="75"/>
        <v>0</v>
      </c>
      <c r="AA657">
        <f t="shared" si="76"/>
        <v>2024</v>
      </c>
    </row>
    <row r="658" spans="1:27" x14ac:dyDescent="0.3">
      <c r="A658" s="2">
        <v>45295</v>
      </c>
      <c r="B658" t="s">
        <v>71</v>
      </c>
      <c r="C658" t="s">
        <v>81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68</v>
      </c>
      <c r="J658">
        <v>103.13</v>
      </c>
      <c r="K658" t="s">
        <v>24</v>
      </c>
      <c r="L658" t="s">
        <v>25</v>
      </c>
      <c r="M658">
        <v>0</v>
      </c>
      <c r="N658" t="s">
        <v>1343</v>
      </c>
      <c r="O658" t="s">
        <v>1344</v>
      </c>
      <c r="P658">
        <v>42.38</v>
      </c>
      <c r="Q658" s="2">
        <v>45295</v>
      </c>
      <c r="R658" s="2">
        <v>45305</v>
      </c>
      <c r="S658" t="s">
        <v>74</v>
      </c>
      <c r="T658">
        <f t="shared" si="70"/>
        <v>145.51</v>
      </c>
      <c r="U658">
        <f t="shared" si="71"/>
        <v>0</v>
      </c>
      <c r="V658">
        <f t="shared" si="72"/>
        <v>103.13</v>
      </c>
      <c r="W658">
        <f t="shared" si="73"/>
        <v>0</v>
      </c>
      <c r="X658">
        <f t="shared" si="74"/>
        <v>10</v>
      </c>
      <c r="Y658" cm="1">
        <f t="array" ref="Y658">_xlfn.IFS(H658=0.1,1,H658=0.15,1,H658=0.05,1,H658=0,0)</f>
        <v>0</v>
      </c>
      <c r="Z658">
        <f t="shared" si="75"/>
        <v>0</v>
      </c>
      <c r="AA658">
        <f t="shared" si="76"/>
        <v>2024</v>
      </c>
    </row>
    <row r="659" spans="1:27" x14ac:dyDescent="0.3">
      <c r="A659" s="2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65</v>
      </c>
      <c r="L659" t="s">
        <v>41</v>
      </c>
      <c r="M659">
        <v>0</v>
      </c>
      <c r="N659" t="s">
        <v>1345</v>
      </c>
      <c r="O659" t="s">
        <v>772</v>
      </c>
      <c r="P659">
        <v>40.35</v>
      </c>
      <c r="Q659" s="2">
        <v>44966</v>
      </c>
      <c r="R659" s="2">
        <v>44976</v>
      </c>
      <c r="S659" t="s">
        <v>28</v>
      </c>
      <c r="T659">
        <f t="shared" si="70"/>
        <v>555.15499999999997</v>
      </c>
      <c r="U659">
        <f t="shared" si="71"/>
        <v>5</v>
      </c>
      <c r="V659">
        <f t="shared" si="72"/>
        <v>541.9</v>
      </c>
      <c r="W659">
        <f t="shared" si="73"/>
        <v>27.095000000000027</v>
      </c>
      <c r="X659">
        <f t="shared" si="74"/>
        <v>10</v>
      </c>
      <c r="Y659" cm="1">
        <f t="array" ref="Y659">_xlfn.IFS(H659=0.1,1,H659=0.15,1,H659=0.05,1,H659=0,0)</f>
        <v>1</v>
      </c>
      <c r="Z659">
        <f t="shared" si="75"/>
        <v>1</v>
      </c>
      <c r="AA659">
        <f t="shared" si="76"/>
        <v>2023</v>
      </c>
    </row>
    <row r="660" spans="1:27" x14ac:dyDescent="0.3">
      <c r="A660" s="2">
        <v>45463</v>
      </c>
      <c r="B660" t="s">
        <v>39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1346</v>
      </c>
      <c r="O660" t="s">
        <v>1347</v>
      </c>
      <c r="P660">
        <v>21.88</v>
      </c>
      <c r="Q660" s="2">
        <v>45463</v>
      </c>
      <c r="R660" s="2">
        <v>45467</v>
      </c>
      <c r="S660" t="s">
        <v>44</v>
      </c>
      <c r="T660">
        <f t="shared" si="70"/>
        <v>3022.471</v>
      </c>
      <c r="U660">
        <f t="shared" si="71"/>
        <v>10</v>
      </c>
      <c r="V660">
        <f t="shared" si="72"/>
        <v>3333.99</v>
      </c>
      <c r="W660">
        <f t="shared" si="73"/>
        <v>333.39899999999989</v>
      </c>
      <c r="X660">
        <f t="shared" si="74"/>
        <v>4</v>
      </c>
      <c r="Y660" cm="1">
        <f t="array" ref="Y660">_xlfn.IFS(H660=0.1,1,H660=0.15,1,H660=0.05,1,H660=0,0)</f>
        <v>1</v>
      </c>
      <c r="Z660">
        <f t="shared" si="75"/>
        <v>11</v>
      </c>
      <c r="AA660">
        <f t="shared" si="76"/>
        <v>2024</v>
      </c>
    </row>
    <row r="661" spans="1:27" x14ac:dyDescent="0.3">
      <c r="A661" s="2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68</v>
      </c>
      <c r="J661">
        <v>645.91450000000009</v>
      </c>
      <c r="K661" t="s">
        <v>34</v>
      </c>
      <c r="L661" t="s">
        <v>41</v>
      </c>
      <c r="M661">
        <v>0</v>
      </c>
      <c r="N661" t="s">
        <v>1348</v>
      </c>
      <c r="O661" t="s">
        <v>1349</v>
      </c>
      <c r="P661">
        <v>47.95</v>
      </c>
      <c r="Q661" s="2">
        <v>44978</v>
      </c>
      <c r="R661" s="2">
        <v>44988</v>
      </c>
      <c r="S661" t="s">
        <v>50</v>
      </c>
      <c r="T661">
        <f t="shared" si="70"/>
        <v>693.86450000000013</v>
      </c>
      <c r="U661">
        <f t="shared" si="71"/>
        <v>5</v>
      </c>
      <c r="V661">
        <f t="shared" si="72"/>
        <v>679.91000000000008</v>
      </c>
      <c r="W661">
        <f t="shared" si="73"/>
        <v>33.995499999999993</v>
      </c>
      <c r="X661">
        <f t="shared" si="74"/>
        <v>10</v>
      </c>
      <c r="Y661" cm="1">
        <f t="array" ref="Y661">_xlfn.IFS(H661=0.1,1,H661=0.15,1,H661=0.05,1,H661=0,0)</f>
        <v>1</v>
      </c>
      <c r="Z661">
        <f t="shared" si="75"/>
        <v>11</v>
      </c>
      <c r="AA661">
        <f t="shared" si="76"/>
        <v>2023</v>
      </c>
    </row>
    <row r="662" spans="1:27" x14ac:dyDescent="0.3">
      <c r="A662" s="2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L662" t="s">
        <v>59</v>
      </c>
      <c r="M662">
        <v>1</v>
      </c>
      <c r="N662" t="s">
        <v>1350</v>
      </c>
      <c r="O662" t="s">
        <v>1351</v>
      </c>
      <c r="P662">
        <v>38.590000000000003</v>
      </c>
      <c r="Q662" s="2">
        <v>45154</v>
      </c>
      <c r="R662" s="2">
        <v>45162</v>
      </c>
      <c r="S662" t="s">
        <v>50</v>
      </c>
      <c r="T662">
        <f t="shared" si="70"/>
        <v>2596.67</v>
      </c>
      <c r="U662">
        <f t="shared" si="71"/>
        <v>10</v>
      </c>
      <c r="V662">
        <f t="shared" si="72"/>
        <v>2841.2</v>
      </c>
      <c r="W662">
        <f t="shared" si="73"/>
        <v>284.11999999999989</v>
      </c>
      <c r="X662">
        <f t="shared" si="74"/>
        <v>8</v>
      </c>
      <c r="Y662" cm="1">
        <f t="array" ref="Y662">_xlfn.IFS(H662=0.1,1,H662=0.15,1,H662=0.05,1,H662=0,0)</f>
        <v>1</v>
      </c>
      <c r="Z662">
        <f t="shared" si="75"/>
        <v>8</v>
      </c>
      <c r="AA662">
        <f t="shared" si="76"/>
        <v>2023</v>
      </c>
    </row>
    <row r="663" spans="1:27" x14ac:dyDescent="0.3">
      <c r="A663" s="2">
        <v>45233</v>
      </c>
      <c r="B663" t="s">
        <v>71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1352</v>
      </c>
      <c r="O663" t="s">
        <v>1353</v>
      </c>
      <c r="P663">
        <v>16.64</v>
      </c>
      <c r="Q663" s="2">
        <v>45233</v>
      </c>
      <c r="R663" s="2">
        <v>45241</v>
      </c>
      <c r="S663" t="s">
        <v>74</v>
      </c>
      <c r="T663">
        <f t="shared" si="70"/>
        <v>1203.056</v>
      </c>
      <c r="U663">
        <f t="shared" si="71"/>
        <v>10</v>
      </c>
      <c r="V663">
        <f t="shared" si="72"/>
        <v>1318.24</v>
      </c>
      <c r="W663">
        <f t="shared" si="73"/>
        <v>131.82400000000007</v>
      </c>
      <c r="X663">
        <f t="shared" si="74"/>
        <v>8</v>
      </c>
      <c r="Y663" cm="1">
        <f t="array" ref="Y663">_xlfn.IFS(H663=0.1,1,H663=0.15,1,H663=0.05,1,H663=0,0)</f>
        <v>1</v>
      </c>
      <c r="Z663">
        <f t="shared" si="75"/>
        <v>11</v>
      </c>
      <c r="AA663">
        <f t="shared" si="76"/>
        <v>2023</v>
      </c>
    </row>
    <row r="664" spans="1:27" x14ac:dyDescent="0.3">
      <c r="A664" s="2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1354</v>
      </c>
      <c r="O664" t="s">
        <v>1355</v>
      </c>
      <c r="P664">
        <v>40.78</v>
      </c>
      <c r="Q664" s="2">
        <v>45408</v>
      </c>
      <c r="R664" s="2">
        <v>45413</v>
      </c>
      <c r="S664" t="s">
        <v>38</v>
      </c>
      <c r="T664">
        <f t="shared" si="70"/>
        <v>4879.2439999999997</v>
      </c>
      <c r="U664">
        <f t="shared" si="71"/>
        <v>5</v>
      </c>
      <c r="V664">
        <f t="shared" si="72"/>
        <v>5093.12</v>
      </c>
      <c r="W664">
        <f t="shared" si="73"/>
        <v>254.65599999999995</v>
      </c>
      <c r="X664">
        <f t="shared" si="74"/>
        <v>5</v>
      </c>
      <c r="Y664" cm="1">
        <f t="array" ref="Y664">_xlfn.IFS(H664=0.1,1,H664=0.15,1,H664=0.05,1,H664=0,0)</f>
        <v>1</v>
      </c>
      <c r="Z664">
        <f t="shared" si="75"/>
        <v>16</v>
      </c>
      <c r="AA664">
        <f t="shared" si="76"/>
        <v>2024</v>
      </c>
    </row>
    <row r="665" spans="1:27" x14ac:dyDescent="0.3">
      <c r="A665" s="2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65</v>
      </c>
      <c r="L665" t="s">
        <v>25</v>
      </c>
      <c r="M665">
        <v>0</v>
      </c>
      <c r="N665" t="s">
        <v>1356</v>
      </c>
      <c r="O665" t="s">
        <v>1357</v>
      </c>
      <c r="P665">
        <v>5.77</v>
      </c>
      <c r="Q665" s="2">
        <v>45573</v>
      </c>
      <c r="R665" s="2">
        <v>45582</v>
      </c>
      <c r="S665" t="s">
        <v>38</v>
      </c>
      <c r="T665">
        <f t="shared" si="70"/>
        <v>3421.4184999999998</v>
      </c>
      <c r="U665">
        <f t="shared" si="71"/>
        <v>15</v>
      </c>
      <c r="V665">
        <f t="shared" si="72"/>
        <v>4018.41</v>
      </c>
      <c r="W665">
        <f t="shared" si="73"/>
        <v>602.76150000000007</v>
      </c>
      <c r="X665">
        <f t="shared" si="74"/>
        <v>9</v>
      </c>
      <c r="Y665" cm="1">
        <f t="array" ref="Y665">_xlfn.IFS(H665=0.1,1,H665=0.15,1,H665=0.05,1,H665=0,0)</f>
        <v>1</v>
      </c>
      <c r="Z665">
        <f t="shared" si="75"/>
        <v>9</v>
      </c>
      <c r="AA665">
        <f t="shared" si="76"/>
        <v>2024</v>
      </c>
    </row>
    <row r="666" spans="1:27" x14ac:dyDescent="0.3">
      <c r="A666" s="2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1358</v>
      </c>
      <c r="O666" t="s">
        <v>1359</v>
      </c>
      <c r="P666">
        <v>46.93</v>
      </c>
      <c r="Q666" s="2">
        <v>44935</v>
      </c>
      <c r="R666" s="2">
        <v>44943</v>
      </c>
      <c r="S666" t="s">
        <v>38</v>
      </c>
      <c r="T666">
        <f t="shared" si="70"/>
        <v>3773.9379999999996</v>
      </c>
      <c r="U666">
        <f t="shared" si="71"/>
        <v>10</v>
      </c>
      <c r="V666">
        <f t="shared" si="72"/>
        <v>4141.12</v>
      </c>
      <c r="W666">
        <f t="shared" si="73"/>
        <v>414.11200000000008</v>
      </c>
      <c r="X666">
        <f t="shared" si="74"/>
        <v>8</v>
      </c>
      <c r="Y666" cm="1">
        <f t="array" ref="Y666">_xlfn.IFS(H666=0.1,1,H666=0.15,1,H666=0.05,1,H666=0,0)</f>
        <v>1</v>
      </c>
      <c r="Z666">
        <f t="shared" si="75"/>
        <v>16</v>
      </c>
      <c r="AA666">
        <f t="shared" si="76"/>
        <v>2023</v>
      </c>
    </row>
    <row r="667" spans="1:27" x14ac:dyDescent="0.3">
      <c r="A667" s="2">
        <v>45285</v>
      </c>
      <c r="B667" t="s">
        <v>39</v>
      </c>
      <c r="C667" t="s">
        <v>132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1360</v>
      </c>
      <c r="O667" t="s">
        <v>1361</v>
      </c>
      <c r="P667">
        <v>16.43</v>
      </c>
      <c r="Q667" s="2">
        <v>45285</v>
      </c>
      <c r="R667" s="2">
        <v>45293</v>
      </c>
      <c r="S667" t="s">
        <v>44</v>
      </c>
      <c r="T667">
        <f t="shared" si="70"/>
        <v>2347.8440000000001</v>
      </c>
      <c r="U667">
        <f t="shared" si="71"/>
        <v>5</v>
      </c>
      <c r="V667">
        <f t="shared" si="72"/>
        <v>2454.12</v>
      </c>
      <c r="W667">
        <f t="shared" si="73"/>
        <v>122.70599999999968</v>
      </c>
      <c r="X667">
        <f t="shared" si="74"/>
        <v>8</v>
      </c>
      <c r="Y667" cm="1">
        <f t="array" ref="Y667">_xlfn.IFS(H667=0.1,1,H667=0.15,1,H667=0.05,1,H667=0,0)</f>
        <v>1</v>
      </c>
      <c r="Z667">
        <f t="shared" si="75"/>
        <v>9</v>
      </c>
      <c r="AA667">
        <f t="shared" si="76"/>
        <v>2023</v>
      </c>
    </row>
    <row r="668" spans="1:27" x14ac:dyDescent="0.3">
      <c r="A668" s="2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62</v>
      </c>
      <c r="L668" t="s">
        <v>35</v>
      </c>
      <c r="M668">
        <v>0</v>
      </c>
      <c r="N668" t="s">
        <v>1362</v>
      </c>
      <c r="O668" t="s">
        <v>1363</v>
      </c>
      <c r="P668">
        <v>9.31</v>
      </c>
      <c r="Q668" s="2">
        <v>45423</v>
      </c>
      <c r="R668" s="2">
        <v>45432</v>
      </c>
      <c r="S668" t="s">
        <v>50</v>
      </c>
      <c r="T668">
        <f t="shared" si="70"/>
        <v>5274.55</v>
      </c>
      <c r="U668">
        <f t="shared" si="71"/>
        <v>0</v>
      </c>
      <c r="V668">
        <f t="shared" si="72"/>
        <v>5265.24</v>
      </c>
      <c r="W668">
        <f t="shared" si="73"/>
        <v>0</v>
      </c>
      <c r="X668">
        <f t="shared" si="74"/>
        <v>9</v>
      </c>
      <c r="Y668" cm="1">
        <f t="array" ref="Y668">_xlfn.IFS(H668=0.1,1,H668=0.15,1,H668=0.05,1,H668=0,0)</f>
        <v>0</v>
      </c>
      <c r="Z668">
        <f t="shared" si="75"/>
        <v>0</v>
      </c>
      <c r="AA668">
        <f t="shared" si="76"/>
        <v>2024</v>
      </c>
    </row>
    <row r="669" spans="1:27" x14ac:dyDescent="0.3">
      <c r="A669" s="2">
        <v>45253</v>
      </c>
      <c r="B669" t="s">
        <v>71</v>
      </c>
      <c r="C669" t="s">
        <v>81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1364</v>
      </c>
      <c r="O669" t="s">
        <v>1365</v>
      </c>
      <c r="P669">
        <v>44.48</v>
      </c>
      <c r="Q669" s="2">
        <v>45253</v>
      </c>
      <c r="R669" s="2">
        <v>45256</v>
      </c>
      <c r="S669" t="s">
        <v>74</v>
      </c>
      <c r="T669">
        <f t="shared" si="70"/>
        <v>4861.82</v>
      </c>
      <c r="U669">
        <f t="shared" si="71"/>
        <v>0</v>
      </c>
      <c r="V669">
        <f t="shared" si="72"/>
        <v>4817.34</v>
      </c>
      <c r="W669">
        <f t="shared" si="73"/>
        <v>0</v>
      </c>
      <c r="X669">
        <f t="shared" si="74"/>
        <v>3</v>
      </c>
      <c r="Y669" cm="1">
        <f t="array" ref="Y669">_xlfn.IFS(H669=0.1,1,H669=0.15,1,H669=0.05,1,H669=0,0)</f>
        <v>0</v>
      </c>
      <c r="Z669">
        <f t="shared" si="75"/>
        <v>0</v>
      </c>
      <c r="AA669">
        <f t="shared" si="76"/>
        <v>2023</v>
      </c>
    </row>
    <row r="670" spans="1:27" x14ac:dyDescent="0.3">
      <c r="A670" s="2">
        <v>45270</v>
      </c>
      <c r="B670" t="s">
        <v>45</v>
      </c>
      <c r="C670" t="s">
        <v>132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1366</v>
      </c>
      <c r="O670" t="s">
        <v>1367</v>
      </c>
      <c r="P670">
        <v>23.91</v>
      </c>
      <c r="Q670" s="2">
        <v>45270</v>
      </c>
      <c r="R670" s="2">
        <v>45272</v>
      </c>
      <c r="S670" t="s">
        <v>50</v>
      </c>
      <c r="T670">
        <f t="shared" si="70"/>
        <v>684.76799999999992</v>
      </c>
      <c r="U670">
        <f t="shared" si="71"/>
        <v>5</v>
      </c>
      <c r="V670">
        <f t="shared" si="72"/>
        <v>695.64</v>
      </c>
      <c r="W670">
        <f t="shared" si="73"/>
        <v>34.782000000000039</v>
      </c>
      <c r="X670">
        <f t="shared" si="74"/>
        <v>2</v>
      </c>
      <c r="Y670" cm="1">
        <f t="array" ref="Y670">_xlfn.IFS(H670=0.1,1,H670=0.15,1,H670=0.05,1,H670=0,0)</f>
        <v>1</v>
      </c>
      <c r="Z670">
        <f t="shared" si="75"/>
        <v>6</v>
      </c>
      <c r="AA670">
        <f t="shared" si="76"/>
        <v>2023</v>
      </c>
    </row>
    <row r="671" spans="1:27" x14ac:dyDescent="0.3">
      <c r="A671" s="2">
        <v>45325</v>
      </c>
      <c r="B671" t="s">
        <v>39</v>
      </c>
      <c r="C671" t="s">
        <v>132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65</v>
      </c>
      <c r="L671" t="s">
        <v>35</v>
      </c>
      <c r="M671">
        <v>0</v>
      </c>
      <c r="N671" t="s">
        <v>1368</v>
      </c>
      <c r="O671" t="s">
        <v>1369</v>
      </c>
      <c r="P671">
        <v>47</v>
      </c>
      <c r="Q671" s="2">
        <v>45325</v>
      </c>
      <c r="R671" s="2">
        <v>45327</v>
      </c>
      <c r="S671" t="s">
        <v>44</v>
      </c>
      <c r="T671">
        <f t="shared" si="70"/>
        <v>5286.82</v>
      </c>
      <c r="U671">
        <f t="shared" si="71"/>
        <v>0</v>
      </c>
      <c r="V671">
        <f t="shared" si="72"/>
        <v>5239.82</v>
      </c>
      <c r="W671">
        <f t="shared" si="73"/>
        <v>0</v>
      </c>
      <c r="X671">
        <f t="shared" si="74"/>
        <v>2</v>
      </c>
      <c r="Y671" cm="1">
        <f t="array" ref="Y671">_xlfn.IFS(H671=0.1,1,H671=0.15,1,H671=0.05,1,H671=0,0)</f>
        <v>0</v>
      </c>
      <c r="Z671">
        <f t="shared" si="75"/>
        <v>0</v>
      </c>
      <c r="AA671">
        <f t="shared" si="76"/>
        <v>2024</v>
      </c>
    </row>
    <row r="672" spans="1:27" x14ac:dyDescent="0.3">
      <c r="A672" s="2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65</v>
      </c>
      <c r="L672" t="s">
        <v>41</v>
      </c>
      <c r="M672">
        <v>0</v>
      </c>
      <c r="N672" t="s">
        <v>1370</v>
      </c>
      <c r="O672" t="s">
        <v>1371</v>
      </c>
      <c r="P672">
        <v>23.74</v>
      </c>
      <c r="Q672" s="2">
        <v>45620</v>
      </c>
      <c r="R672" s="2">
        <v>45630</v>
      </c>
      <c r="S672" t="s">
        <v>50</v>
      </c>
      <c r="T672">
        <f t="shared" si="70"/>
        <v>3094.8999999999996</v>
      </c>
      <c r="U672">
        <f t="shared" si="71"/>
        <v>0</v>
      </c>
      <c r="V672">
        <f t="shared" si="72"/>
        <v>3071.16</v>
      </c>
      <c r="W672">
        <f t="shared" si="73"/>
        <v>0</v>
      </c>
      <c r="X672">
        <f t="shared" si="74"/>
        <v>10</v>
      </c>
      <c r="Y672" cm="1">
        <f t="array" ref="Y672">_xlfn.IFS(H672=0.1,1,H672=0.15,1,H672=0.05,1,H672=0,0)</f>
        <v>0</v>
      </c>
      <c r="Z672">
        <f t="shared" si="75"/>
        <v>0</v>
      </c>
      <c r="AA672">
        <f t="shared" si="76"/>
        <v>2024</v>
      </c>
    </row>
    <row r="673" spans="1:27" x14ac:dyDescent="0.3">
      <c r="A673" s="2">
        <v>45357</v>
      </c>
      <c r="B673" t="s">
        <v>71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68</v>
      </c>
      <c r="J673">
        <v>324.02850000000001</v>
      </c>
      <c r="K673" t="s">
        <v>24</v>
      </c>
      <c r="L673" t="s">
        <v>59</v>
      </c>
      <c r="M673">
        <v>0</v>
      </c>
      <c r="N673" t="s">
        <v>1372</v>
      </c>
      <c r="O673" t="s">
        <v>1373</v>
      </c>
      <c r="P673">
        <v>9.9499999999999993</v>
      </c>
      <c r="Q673" s="2">
        <v>45357</v>
      </c>
      <c r="R673" s="2">
        <v>45362</v>
      </c>
      <c r="S673" t="s">
        <v>74</v>
      </c>
      <c r="T673">
        <f t="shared" si="70"/>
        <v>333.9785</v>
      </c>
      <c r="U673">
        <f t="shared" si="71"/>
        <v>15</v>
      </c>
      <c r="V673">
        <f t="shared" si="72"/>
        <v>381.21</v>
      </c>
      <c r="W673">
        <f t="shared" si="73"/>
        <v>57.181499999999971</v>
      </c>
      <c r="X673">
        <f t="shared" si="74"/>
        <v>5</v>
      </c>
      <c r="Y673" cm="1">
        <f t="array" ref="Y673">_xlfn.IFS(H673=0.1,1,H673=0.15,1,H673=0.05,1,H673=0,0)</f>
        <v>1</v>
      </c>
      <c r="Z673">
        <f t="shared" si="75"/>
        <v>1</v>
      </c>
      <c r="AA673">
        <f t="shared" si="76"/>
        <v>2024</v>
      </c>
    </row>
    <row r="674" spans="1:27" x14ac:dyDescent="0.3">
      <c r="A674" s="2">
        <v>45689</v>
      </c>
      <c r="B674" t="s">
        <v>29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68</v>
      </c>
      <c r="J674">
        <v>162.47749999999999</v>
      </c>
      <c r="K674" t="s">
        <v>62</v>
      </c>
      <c r="L674" t="s">
        <v>59</v>
      </c>
      <c r="M674">
        <v>0</v>
      </c>
      <c r="N674" t="s">
        <v>1374</v>
      </c>
      <c r="O674" t="s">
        <v>1375</v>
      </c>
      <c r="P674">
        <v>21.06</v>
      </c>
      <c r="Q674" s="2">
        <v>45689</v>
      </c>
      <c r="R674" s="2">
        <v>45699</v>
      </c>
      <c r="S674" t="s">
        <v>38</v>
      </c>
      <c r="T674">
        <f t="shared" si="70"/>
        <v>183.53749999999999</v>
      </c>
      <c r="U674">
        <f t="shared" si="71"/>
        <v>15</v>
      </c>
      <c r="V674">
        <f t="shared" si="72"/>
        <v>191.14999999999998</v>
      </c>
      <c r="W674">
        <f t="shared" si="73"/>
        <v>28.672499999999985</v>
      </c>
      <c r="X674">
        <f t="shared" si="74"/>
        <v>10</v>
      </c>
      <c r="Y674" cm="1">
        <f t="array" ref="Y674">_xlfn.IFS(H674=0.1,1,H674=0.15,1,H674=0.05,1,H674=0,0)</f>
        <v>1</v>
      </c>
      <c r="Z674">
        <f t="shared" si="75"/>
        <v>5</v>
      </c>
      <c r="AA674">
        <f t="shared" si="76"/>
        <v>2025</v>
      </c>
    </row>
    <row r="675" spans="1:27" x14ac:dyDescent="0.3">
      <c r="A675" s="2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62</v>
      </c>
      <c r="L675" t="s">
        <v>59</v>
      </c>
      <c r="M675">
        <v>0</v>
      </c>
      <c r="N675" t="s">
        <v>1376</v>
      </c>
      <c r="O675" t="s">
        <v>1377</v>
      </c>
      <c r="P675">
        <v>24.48</v>
      </c>
      <c r="Q675" s="2">
        <v>45447</v>
      </c>
      <c r="R675" s="2">
        <v>45452</v>
      </c>
      <c r="S675" t="s">
        <v>50</v>
      </c>
      <c r="T675">
        <f t="shared" si="70"/>
        <v>1605.5</v>
      </c>
      <c r="U675">
        <f t="shared" si="71"/>
        <v>0</v>
      </c>
      <c r="V675">
        <f t="shared" si="72"/>
        <v>1581.02</v>
      </c>
      <c r="W675">
        <f t="shared" si="73"/>
        <v>0</v>
      </c>
      <c r="X675">
        <f t="shared" si="74"/>
        <v>5</v>
      </c>
      <c r="Y675" cm="1">
        <f t="array" ref="Y675">_xlfn.IFS(H675=0.1,1,H675=0.15,1,H675=0.05,1,H675=0,0)</f>
        <v>0</v>
      </c>
      <c r="Z675">
        <f t="shared" si="75"/>
        <v>0</v>
      </c>
      <c r="AA675">
        <f t="shared" si="76"/>
        <v>2024</v>
      </c>
    </row>
    <row r="676" spans="1:27" x14ac:dyDescent="0.3">
      <c r="A676" s="2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4164.9519999999993</v>
      </c>
      <c r="K676" t="s">
        <v>24</v>
      </c>
      <c r="L676" t="s">
        <v>59</v>
      </c>
      <c r="M676">
        <v>0</v>
      </c>
      <c r="N676" t="s">
        <v>1378</v>
      </c>
      <c r="O676" t="s">
        <v>1379</v>
      </c>
      <c r="P676">
        <v>33.4</v>
      </c>
      <c r="Q676" s="2">
        <v>45144</v>
      </c>
      <c r="R676" s="2">
        <v>45151</v>
      </c>
      <c r="S676" t="s">
        <v>50</v>
      </c>
      <c r="T676">
        <f t="shared" si="70"/>
        <v>4198.351999999999</v>
      </c>
      <c r="U676">
        <f t="shared" si="71"/>
        <v>5</v>
      </c>
      <c r="V676">
        <f t="shared" si="72"/>
        <v>4384.16</v>
      </c>
      <c r="W676">
        <f t="shared" si="73"/>
        <v>219.20800000000054</v>
      </c>
      <c r="X676">
        <f t="shared" si="74"/>
        <v>7</v>
      </c>
      <c r="Y676" cm="1">
        <f t="array" ref="Y676">_xlfn.IFS(H676=0.1,1,H676=0.15,1,H676=0.05,1,H676=0,0)</f>
        <v>1</v>
      </c>
      <c r="Z676">
        <f t="shared" si="75"/>
        <v>8</v>
      </c>
      <c r="AA676">
        <f t="shared" si="76"/>
        <v>2023</v>
      </c>
    </row>
    <row r="677" spans="1:27" x14ac:dyDescent="0.3">
      <c r="A677" s="2">
        <v>45107</v>
      </c>
      <c r="B677" t="s">
        <v>71</v>
      </c>
      <c r="C677" t="s">
        <v>132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68</v>
      </c>
      <c r="J677">
        <v>8298.6299999999992</v>
      </c>
      <c r="K677" t="s">
        <v>62</v>
      </c>
      <c r="L677" t="s">
        <v>25</v>
      </c>
      <c r="M677">
        <v>1</v>
      </c>
      <c r="N677" t="s">
        <v>1380</v>
      </c>
      <c r="O677" t="s">
        <v>1381</v>
      </c>
      <c r="P677">
        <v>47.77</v>
      </c>
      <c r="Q677" s="2">
        <v>45107</v>
      </c>
      <c r="R677" s="2">
        <v>45112</v>
      </c>
      <c r="S677" t="s">
        <v>74</v>
      </c>
      <c r="T677">
        <f t="shared" si="70"/>
        <v>8347.4</v>
      </c>
      <c r="U677">
        <f t="shared" si="71"/>
        <v>5</v>
      </c>
      <c r="V677">
        <f t="shared" si="72"/>
        <v>8735.4</v>
      </c>
      <c r="W677">
        <f t="shared" si="73"/>
        <v>436.77000000000044</v>
      </c>
      <c r="X677">
        <f t="shared" si="74"/>
        <v>5</v>
      </c>
      <c r="Y677" cm="1">
        <f t="array" ref="Y677">_xlfn.IFS(H677=0.1,1,H677=0.15,1,H677=0.05,1,H677=0,0)</f>
        <v>1</v>
      </c>
      <c r="Z677">
        <f t="shared" si="75"/>
        <v>18</v>
      </c>
      <c r="AA677">
        <f t="shared" si="76"/>
        <v>2023</v>
      </c>
    </row>
    <row r="678" spans="1:27" x14ac:dyDescent="0.3">
      <c r="A678" s="2">
        <v>44972</v>
      </c>
      <c r="B678" t="s">
        <v>71</v>
      </c>
      <c r="C678" t="s">
        <v>132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1382</v>
      </c>
      <c r="O678" t="s">
        <v>1383</v>
      </c>
      <c r="P678">
        <v>17.43</v>
      </c>
      <c r="Q678" s="2">
        <v>44972</v>
      </c>
      <c r="R678" s="2">
        <v>44976</v>
      </c>
      <c r="S678" t="s">
        <v>74</v>
      </c>
      <c r="T678">
        <f t="shared" si="70"/>
        <v>7102.1310000000003</v>
      </c>
      <c r="U678">
        <f t="shared" si="71"/>
        <v>10</v>
      </c>
      <c r="V678">
        <f t="shared" si="72"/>
        <v>7871.89</v>
      </c>
      <c r="W678">
        <f t="shared" si="73"/>
        <v>787.18900000000031</v>
      </c>
      <c r="X678">
        <f t="shared" si="74"/>
        <v>4</v>
      </c>
      <c r="Y678" cm="1">
        <f t="array" ref="Y678">_xlfn.IFS(H678=0.1,1,H678=0.15,1,H678=0.05,1,H678=0,0)</f>
        <v>1</v>
      </c>
      <c r="Z678">
        <f t="shared" si="75"/>
        <v>19</v>
      </c>
      <c r="AA678">
        <f t="shared" si="76"/>
        <v>2023</v>
      </c>
    </row>
    <row r="679" spans="1:27" x14ac:dyDescent="0.3">
      <c r="A679" s="2">
        <v>45314</v>
      </c>
      <c r="B679" t="s">
        <v>39</v>
      </c>
      <c r="C679" t="s">
        <v>132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62</v>
      </c>
      <c r="L679" t="s">
        <v>59</v>
      </c>
      <c r="M679">
        <v>0</v>
      </c>
      <c r="N679" t="s">
        <v>1384</v>
      </c>
      <c r="O679" t="s">
        <v>1385</v>
      </c>
      <c r="P679">
        <v>12.35</v>
      </c>
      <c r="Q679" s="2">
        <v>45314</v>
      </c>
      <c r="R679" s="2">
        <v>45321</v>
      </c>
      <c r="S679" t="s">
        <v>44</v>
      </c>
      <c r="T679">
        <f t="shared" si="70"/>
        <v>397.822</v>
      </c>
      <c r="U679">
        <f t="shared" si="71"/>
        <v>5</v>
      </c>
      <c r="V679">
        <f t="shared" si="72"/>
        <v>405.76</v>
      </c>
      <c r="W679">
        <f t="shared" si="73"/>
        <v>20.288000000000011</v>
      </c>
      <c r="X679">
        <f t="shared" si="74"/>
        <v>7</v>
      </c>
      <c r="Y679" cm="1">
        <f t="array" ref="Y679">_xlfn.IFS(H679=0.1,1,H679=0.15,1,H679=0.05,1,H679=0,0)</f>
        <v>1</v>
      </c>
      <c r="Z679">
        <f t="shared" si="75"/>
        <v>8</v>
      </c>
      <c r="AA679">
        <f t="shared" si="76"/>
        <v>2024</v>
      </c>
    </row>
    <row r="680" spans="1:27" x14ac:dyDescent="0.3">
      <c r="A680" s="2">
        <v>45596</v>
      </c>
      <c r="B680" t="s">
        <v>39</v>
      </c>
      <c r="C680" t="s">
        <v>81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65</v>
      </c>
      <c r="L680" t="s">
        <v>35</v>
      </c>
      <c r="M680">
        <v>0</v>
      </c>
      <c r="N680" t="s">
        <v>1386</v>
      </c>
      <c r="O680" t="s">
        <v>1387</v>
      </c>
      <c r="P680">
        <v>42.68</v>
      </c>
      <c r="Q680" s="2">
        <v>45596</v>
      </c>
      <c r="R680" s="2">
        <v>45602</v>
      </c>
      <c r="S680" t="s">
        <v>44</v>
      </c>
      <c r="T680">
        <f t="shared" si="70"/>
        <v>1245.787</v>
      </c>
      <c r="U680">
        <f t="shared" si="71"/>
        <v>15</v>
      </c>
      <c r="V680">
        <f t="shared" si="72"/>
        <v>1415.42</v>
      </c>
      <c r="W680">
        <f t="shared" si="73"/>
        <v>212.3130000000001</v>
      </c>
      <c r="X680">
        <f t="shared" si="74"/>
        <v>6</v>
      </c>
      <c r="Y680" cm="1">
        <f t="array" ref="Y680">_xlfn.IFS(H680=0.1,1,H680=0.15,1,H680=0.05,1,H680=0,0)</f>
        <v>1</v>
      </c>
      <c r="Z680">
        <f t="shared" si="75"/>
        <v>17</v>
      </c>
      <c r="AA680">
        <f t="shared" si="76"/>
        <v>2024</v>
      </c>
    </row>
    <row r="681" spans="1:27" x14ac:dyDescent="0.3">
      <c r="A681" s="2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881.44999999999993</v>
      </c>
      <c r="K681" t="s">
        <v>65</v>
      </c>
      <c r="L681" t="s">
        <v>59</v>
      </c>
      <c r="M681">
        <v>0</v>
      </c>
      <c r="N681" t="s">
        <v>1388</v>
      </c>
      <c r="O681" t="s">
        <v>1389</v>
      </c>
      <c r="P681">
        <v>33.159999999999997</v>
      </c>
      <c r="Q681" s="2">
        <v>45279</v>
      </c>
      <c r="R681" s="2">
        <v>45281</v>
      </c>
      <c r="S681" t="s">
        <v>50</v>
      </c>
      <c r="T681">
        <f t="shared" si="70"/>
        <v>914.6099999999999</v>
      </c>
      <c r="U681">
        <f t="shared" si="71"/>
        <v>15</v>
      </c>
      <c r="V681">
        <f t="shared" si="72"/>
        <v>1037</v>
      </c>
      <c r="W681">
        <f t="shared" si="73"/>
        <v>155.55000000000007</v>
      </c>
      <c r="X681">
        <f t="shared" si="74"/>
        <v>2</v>
      </c>
      <c r="Y681" cm="1">
        <f t="array" ref="Y681">_xlfn.IFS(H681=0.1,1,H681=0.15,1,H681=0.05,1,H681=0,0)</f>
        <v>1</v>
      </c>
      <c r="Z681">
        <f t="shared" si="75"/>
        <v>20</v>
      </c>
      <c r="AA681">
        <f t="shared" si="76"/>
        <v>2023</v>
      </c>
    </row>
    <row r="682" spans="1:27" x14ac:dyDescent="0.3">
      <c r="A682" s="2">
        <v>45111</v>
      </c>
      <c r="B682" t="s">
        <v>29</v>
      </c>
      <c r="C682" t="s">
        <v>81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1390</v>
      </c>
      <c r="O682" t="s">
        <v>626</v>
      </c>
      <c r="P682">
        <v>43.47</v>
      </c>
      <c r="Q682" s="2">
        <v>45111</v>
      </c>
      <c r="R682" s="2">
        <v>45113</v>
      </c>
      <c r="S682" t="s">
        <v>38</v>
      </c>
      <c r="T682">
        <f t="shared" si="70"/>
        <v>1440.0840000000001</v>
      </c>
      <c r="U682">
        <f t="shared" si="71"/>
        <v>5</v>
      </c>
      <c r="V682">
        <f t="shared" si="72"/>
        <v>1470.1200000000001</v>
      </c>
      <c r="W682">
        <f t="shared" si="73"/>
        <v>73.506000000000085</v>
      </c>
      <c r="X682">
        <f t="shared" si="74"/>
        <v>2</v>
      </c>
      <c r="Y682" cm="1">
        <f t="array" ref="Y682">_xlfn.IFS(H682=0.1,1,H682=0.15,1,H682=0.05,1,H682=0,0)</f>
        <v>1</v>
      </c>
      <c r="Z682">
        <f t="shared" si="75"/>
        <v>12</v>
      </c>
      <c r="AA682">
        <f t="shared" si="76"/>
        <v>2023</v>
      </c>
    </row>
    <row r="683" spans="1:27" x14ac:dyDescent="0.3">
      <c r="A683" s="2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65</v>
      </c>
      <c r="L683" t="s">
        <v>41</v>
      </c>
      <c r="M683">
        <v>1</v>
      </c>
      <c r="N683" t="s">
        <v>1391</v>
      </c>
      <c r="O683" t="s">
        <v>1392</v>
      </c>
      <c r="P683">
        <v>9.8800000000000008</v>
      </c>
      <c r="Q683" s="2">
        <v>45428</v>
      </c>
      <c r="R683" s="2">
        <v>45430</v>
      </c>
      <c r="S683" t="s">
        <v>28</v>
      </c>
      <c r="T683">
        <f t="shared" si="70"/>
        <v>2087.7955000000002</v>
      </c>
      <c r="U683">
        <f t="shared" si="71"/>
        <v>15</v>
      </c>
      <c r="V683">
        <f t="shared" si="72"/>
        <v>2443.4299999999998</v>
      </c>
      <c r="W683">
        <f t="shared" si="73"/>
        <v>366.51449999999977</v>
      </c>
      <c r="X683">
        <f t="shared" si="74"/>
        <v>2</v>
      </c>
      <c r="Y683" cm="1">
        <f t="array" ref="Y683">_xlfn.IFS(H683=0.1,1,H683=0.15,1,H683=0.05,1,H683=0,0)</f>
        <v>1</v>
      </c>
      <c r="Z683">
        <f t="shared" si="75"/>
        <v>11</v>
      </c>
      <c r="AA683">
        <f t="shared" si="76"/>
        <v>2024</v>
      </c>
    </row>
    <row r="684" spans="1:27" x14ac:dyDescent="0.3">
      <c r="A684" s="2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68</v>
      </c>
      <c r="J684">
        <v>1638.72</v>
      </c>
      <c r="K684" t="s">
        <v>65</v>
      </c>
      <c r="L684" t="s">
        <v>59</v>
      </c>
      <c r="M684">
        <v>0</v>
      </c>
      <c r="N684" t="s">
        <v>1393</v>
      </c>
      <c r="O684" t="s">
        <v>1394</v>
      </c>
      <c r="P684">
        <v>43.4</v>
      </c>
      <c r="Q684" s="2">
        <v>45185</v>
      </c>
      <c r="R684" s="2">
        <v>45190</v>
      </c>
      <c r="S684" t="s">
        <v>44</v>
      </c>
      <c r="T684">
        <f t="shared" si="70"/>
        <v>1682.1200000000001</v>
      </c>
      <c r="U684">
        <f t="shared" si="71"/>
        <v>0</v>
      </c>
      <c r="V684">
        <f t="shared" si="72"/>
        <v>1638.72</v>
      </c>
      <c r="W684">
        <f t="shared" si="73"/>
        <v>0</v>
      </c>
      <c r="X684">
        <f t="shared" si="74"/>
        <v>5</v>
      </c>
      <c r="Y684" cm="1">
        <f t="array" ref="Y684">_xlfn.IFS(H684=0.1,1,H684=0.15,1,H684=0.05,1,H684=0,0)</f>
        <v>0</v>
      </c>
      <c r="Z684">
        <f t="shared" si="75"/>
        <v>0</v>
      </c>
      <c r="AA684">
        <f t="shared" si="76"/>
        <v>2023</v>
      </c>
    </row>
    <row r="685" spans="1:27" x14ac:dyDescent="0.3">
      <c r="A685" s="2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62</v>
      </c>
      <c r="L685" t="s">
        <v>59</v>
      </c>
      <c r="M685">
        <v>0</v>
      </c>
      <c r="N685" t="s">
        <v>1395</v>
      </c>
      <c r="O685" t="s">
        <v>1396</v>
      </c>
      <c r="P685">
        <v>13.86</v>
      </c>
      <c r="Q685" s="2">
        <v>45618</v>
      </c>
      <c r="R685" s="2">
        <v>45627</v>
      </c>
      <c r="S685" t="s">
        <v>28</v>
      </c>
      <c r="T685">
        <f t="shared" si="70"/>
        <v>1624.77</v>
      </c>
      <c r="U685">
        <f t="shared" si="71"/>
        <v>0</v>
      </c>
      <c r="V685">
        <f t="shared" si="72"/>
        <v>1610.91</v>
      </c>
      <c r="W685">
        <f t="shared" si="73"/>
        <v>0</v>
      </c>
      <c r="X685">
        <f t="shared" si="74"/>
        <v>9</v>
      </c>
      <c r="Y685" cm="1">
        <f t="array" ref="Y685">_xlfn.IFS(H685=0.1,1,H685=0.15,1,H685=0.05,1,H685=0,0)</f>
        <v>0</v>
      </c>
      <c r="Z685">
        <f t="shared" si="75"/>
        <v>0</v>
      </c>
      <c r="AA685">
        <f t="shared" si="76"/>
        <v>2024</v>
      </c>
    </row>
    <row r="686" spans="1:27" x14ac:dyDescent="0.3">
      <c r="A686" s="2">
        <v>45395</v>
      </c>
      <c r="B686" t="s">
        <v>71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1397</v>
      </c>
      <c r="O686" t="s">
        <v>1398</v>
      </c>
      <c r="P686">
        <v>23.3</v>
      </c>
      <c r="Q686" s="2">
        <v>45395</v>
      </c>
      <c r="R686" s="2">
        <v>45403</v>
      </c>
      <c r="S686" t="s">
        <v>74</v>
      </c>
      <c r="T686">
        <f t="shared" si="70"/>
        <v>7489.9350000000004</v>
      </c>
      <c r="U686">
        <f t="shared" si="71"/>
        <v>10</v>
      </c>
      <c r="V686">
        <f t="shared" si="72"/>
        <v>8295.15</v>
      </c>
      <c r="W686">
        <f t="shared" si="73"/>
        <v>829.51499999999942</v>
      </c>
      <c r="X686">
        <f t="shared" si="74"/>
        <v>8</v>
      </c>
      <c r="Y686" cm="1">
        <f t="array" ref="Y686">_xlfn.IFS(H686=0.1,1,H686=0.15,1,H686=0.05,1,H686=0,0)</f>
        <v>1</v>
      </c>
      <c r="Z686">
        <f t="shared" si="75"/>
        <v>15</v>
      </c>
      <c r="AA686">
        <f t="shared" si="76"/>
        <v>2024</v>
      </c>
    </row>
    <row r="687" spans="1:27" x14ac:dyDescent="0.3">
      <c r="A687" s="2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1399</v>
      </c>
      <c r="O687" t="s">
        <v>1400</v>
      </c>
      <c r="P687">
        <v>27</v>
      </c>
      <c r="Q687" s="2">
        <v>45473</v>
      </c>
      <c r="R687" s="2">
        <v>45479</v>
      </c>
      <c r="S687" t="s">
        <v>38</v>
      </c>
      <c r="T687">
        <f t="shared" si="70"/>
        <v>5154.76</v>
      </c>
      <c r="U687">
        <f t="shared" si="71"/>
        <v>10</v>
      </c>
      <c r="V687">
        <f t="shared" si="72"/>
        <v>5696.4</v>
      </c>
      <c r="W687">
        <f t="shared" si="73"/>
        <v>569.63999999999942</v>
      </c>
      <c r="X687">
        <f t="shared" si="74"/>
        <v>6</v>
      </c>
      <c r="Y687" cm="1">
        <f t="array" ref="Y687">_xlfn.IFS(H687=0.1,1,H687=0.15,1,H687=0.05,1,H687=0,0)</f>
        <v>1</v>
      </c>
      <c r="Z687">
        <f t="shared" si="75"/>
        <v>20</v>
      </c>
      <c r="AA687">
        <f t="shared" si="76"/>
        <v>2024</v>
      </c>
    </row>
    <row r="688" spans="1:27" x14ac:dyDescent="0.3">
      <c r="A688" s="2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8015.2109999999993</v>
      </c>
      <c r="K688" t="s">
        <v>34</v>
      </c>
      <c r="L688" t="s">
        <v>41</v>
      </c>
      <c r="M688">
        <v>0</v>
      </c>
      <c r="N688" t="s">
        <v>1401</v>
      </c>
      <c r="O688" t="s">
        <v>1402</v>
      </c>
      <c r="P688">
        <v>42.63</v>
      </c>
      <c r="Q688" s="2">
        <v>45533</v>
      </c>
      <c r="R688" s="2">
        <v>45537</v>
      </c>
      <c r="S688" t="s">
        <v>44</v>
      </c>
      <c r="T688">
        <f t="shared" si="70"/>
        <v>8057.8409999999994</v>
      </c>
      <c r="U688">
        <f t="shared" si="71"/>
        <v>15</v>
      </c>
      <c r="V688">
        <f t="shared" si="72"/>
        <v>9429.66</v>
      </c>
      <c r="W688">
        <f t="shared" si="73"/>
        <v>1414.4490000000005</v>
      </c>
      <c r="X688">
        <f t="shared" si="74"/>
        <v>4</v>
      </c>
      <c r="Y688" cm="1">
        <f t="array" ref="Y688">_xlfn.IFS(H688=0.1,1,H688=0.15,1,H688=0.05,1,H688=0,0)</f>
        <v>1</v>
      </c>
      <c r="Z688">
        <f t="shared" si="75"/>
        <v>18</v>
      </c>
      <c r="AA688">
        <f t="shared" si="76"/>
        <v>2024</v>
      </c>
    </row>
    <row r="689" spans="1:27" x14ac:dyDescent="0.3">
      <c r="A689" s="2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65</v>
      </c>
      <c r="L689" t="s">
        <v>59</v>
      </c>
      <c r="M689">
        <v>1</v>
      </c>
      <c r="N689" t="s">
        <v>1403</v>
      </c>
      <c r="O689" t="s">
        <v>1404</v>
      </c>
      <c r="P689">
        <v>46.65</v>
      </c>
      <c r="Q689" s="2">
        <v>45286</v>
      </c>
      <c r="R689" s="2">
        <v>45291</v>
      </c>
      <c r="S689" t="s">
        <v>50</v>
      </c>
      <c r="T689">
        <f t="shared" si="70"/>
        <v>674.40099999999995</v>
      </c>
      <c r="U689">
        <f t="shared" si="71"/>
        <v>10</v>
      </c>
      <c r="V689">
        <f t="shared" si="72"/>
        <v>696.39</v>
      </c>
      <c r="W689">
        <f t="shared" si="73"/>
        <v>69.63900000000001</v>
      </c>
      <c r="X689">
        <f t="shared" si="74"/>
        <v>5</v>
      </c>
      <c r="Y689" cm="1">
        <f t="array" ref="Y689">_xlfn.IFS(H689=0.1,1,H689=0.15,1,H689=0.05,1,H689=0,0)</f>
        <v>1</v>
      </c>
      <c r="Z689">
        <f t="shared" si="75"/>
        <v>3</v>
      </c>
      <c r="AA689">
        <f t="shared" si="76"/>
        <v>2023</v>
      </c>
    </row>
    <row r="690" spans="1:27" x14ac:dyDescent="0.3">
      <c r="A690" s="2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68</v>
      </c>
      <c r="J690">
        <v>2743.596</v>
      </c>
      <c r="K690" t="s">
        <v>62</v>
      </c>
      <c r="L690" t="s">
        <v>35</v>
      </c>
      <c r="M690">
        <v>1</v>
      </c>
      <c r="N690" t="s">
        <v>1405</v>
      </c>
      <c r="O690" t="s">
        <v>1406</v>
      </c>
      <c r="P690">
        <v>26.74</v>
      </c>
      <c r="Q690" s="2">
        <v>45687</v>
      </c>
      <c r="R690" s="2">
        <v>45694</v>
      </c>
      <c r="S690" t="s">
        <v>44</v>
      </c>
      <c r="T690">
        <f t="shared" si="70"/>
        <v>2771.3359999999998</v>
      </c>
      <c r="U690">
        <f t="shared" si="71"/>
        <v>10</v>
      </c>
      <c r="V690">
        <f t="shared" si="72"/>
        <v>3048.44</v>
      </c>
      <c r="W690">
        <f t="shared" si="73"/>
        <v>304.84400000000005</v>
      </c>
      <c r="X690">
        <f t="shared" si="74"/>
        <v>7</v>
      </c>
      <c r="Y690" cm="1">
        <f t="array" ref="Y690">_xlfn.IFS(H690=0.1,1,H690=0.15,1,H690=0.05,1,H690=0,0)</f>
        <v>1</v>
      </c>
      <c r="Z690">
        <f t="shared" si="75"/>
        <v>17</v>
      </c>
      <c r="AA690">
        <f t="shared" si="76"/>
        <v>2025</v>
      </c>
    </row>
    <row r="691" spans="1:27" x14ac:dyDescent="0.3">
      <c r="A691" s="2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62</v>
      </c>
      <c r="L691" t="s">
        <v>35</v>
      </c>
      <c r="M691">
        <v>1</v>
      </c>
      <c r="N691" t="s">
        <v>1407</v>
      </c>
      <c r="O691" t="s">
        <v>1408</v>
      </c>
      <c r="P691">
        <v>19.89</v>
      </c>
      <c r="Q691" s="2">
        <v>45063</v>
      </c>
      <c r="R691" s="2">
        <v>45071</v>
      </c>
      <c r="S691" t="s">
        <v>38</v>
      </c>
      <c r="T691">
        <f t="shared" si="70"/>
        <v>357.78749999999997</v>
      </c>
      <c r="U691">
        <f t="shared" si="71"/>
        <v>15</v>
      </c>
      <c r="V691">
        <f t="shared" si="72"/>
        <v>396.35</v>
      </c>
      <c r="W691">
        <f t="shared" si="73"/>
        <v>59.452500000000043</v>
      </c>
      <c r="X691">
        <f t="shared" si="74"/>
        <v>8</v>
      </c>
      <c r="Y691" cm="1">
        <f t="array" ref="Y691">_xlfn.IFS(H691=0.1,1,H691=0.15,1,H691=0.05,1,H691=0,0)</f>
        <v>1</v>
      </c>
      <c r="Z691">
        <f t="shared" si="75"/>
        <v>1</v>
      </c>
      <c r="AA691">
        <f t="shared" si="76"/>
        <v>2023</v>
      </c>
    </row>
    <row r="692" spans="1:27" x14ac:dyDescent="0.3">
      <c r="A692" s="2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L692" t="s">
        <v>59</v>
      </c>
      <c r="M692">
        <v>1</v>
      </c>
      <c r="N692" t="s">
        <v>1409</v>
      </c>
      <c r="O692" t="s">
        <v>1410</v>
      </c>
      <c r="P692">
        <v>48.9</v>
      </c>
      <c r="Q692" s="2">
        <v>45318</v>
      </c>
      <c r="R692" s="2">
        <v>45327</v>
      </c>
      <c r="S692" t="s">
        <v>50</v>
      </c>
      <c r="T692">
        <f t="shared" si="70"/>
        <v>1709.644</v>
      </c>
      <c r="U692">
        <f t="shared" si="71"/>
        <v>10</v>
      </c>
      <c r="V692">
        <f t="shared" si="72"/>
        <v>1844.16</v>
      </c>
      <c r="W692">
        <f t="shared" si="73"/>
        <v>184.41600000000017</v>
      </c>
      <c r="X692">
        <f t="shared" si="74"/>
        <v>9</v>
      </c>
      <c r="Y692" cm="1">
        <f t="array" ref="Y692">_xlfn.IFS(H692=0.1,1,H692=0.15,1,H692=0.05,1,H692=0,0)</f>
        <v>1</v>
      </c>
      <c r="Z692">
        <f t="shared" si="75"/>
        <v>17</v>
      </c>
      <c r="AA692">
        <f t="shared" si="76"/>
        <v>2024</v>
      </c>
    </row>
    <row r="693" spans="1:27" x14ac:dyDescent="0.3">
      <c r="A693" s="2">
        <v>45803</v>
      </c>
      <c r="B693" t="s">
        <v>19</v>
      </c>
      <c r="C693" t="s">
        <v>132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65</v>
      </c>
      <c r="L693" t="s">
        <v>25</v>
      </c>
      <c r="M693">
        <v>1</v>
      </c>
      <c r="N693" t="s">
        <v>1411</v>
      </c>
      <c r="O693" t="s">
        <v>1412</v>
      </c>
      <c r="P693">
        <v>49.67</v>
      </c>
      <c r="Q693" s="2">
        <v>45803</v>
      </c>
      <c r="R693" s="2">
        <v>45810</v>
      </c>
      <c r="S693" t="s">
        <v>28</v>
      </c>
      <c r="T693">
        <f t="shared" si="70"/>
        <v>1397.7</v>
      </c>
      <c r="U693">
        <f t="shared" si="71"/>
        <v>10</v>
      </c>
      <c r="V693">
        <f t="shared" si="72"/>
        <v>1496.6999999999998</v>
      </c>
      <c r="W693">
        <f t="shared" si="73"/>
        <v>149.66999999999985</v>
      </c>
      <c r="X693">
        <f t="shared" si="74"/>
        <v>7</v>
      </c>
      <c r="Y693" cm="1">
        <f t="array" ref="Y693">_xlfn.IFS(H693=0.1,1,H693=0.15,1,H693=0.05,1,H693=0,0)</f>
        <v>1</v>
      </c>
      <c r="Z693">
        <f t="shared" si="75"/>
        <v>10</v>
      </c>
      <c r="AA693">
        <f t="shared" si="76"/>
        <v>2025</v>
      </c>
    </row>
    <row r="694" spans="1:27" x14ac:dyDescent="0.3">
      <c r="A694" s="2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68</v>
      </c>
      <c r="J694">
        <v>506.41</v>
      </c>
      <c r="K694" t="s">
        <v>65</v>
      </c>
      <c r="L694" t="s">
        <v>59</v>
      </c>
      <c r="M694">
        <v>0</v>
      </c>
      <c r="N694" t="s">
        <v>1413</v>
      </c>
      <c r="O694" t="s">
        <v>1414</v>
      </c>
      <c r="P694">
        <v>17.899999999999999</v>
      </c>
      <c r="Q694" s="2">
        <v>45725</v>
      </c>
      <c r="R694" s="2">
        <v>45733</v>
      </c>
      <c r="S694" t="s">
        <v>44</v>
      </c>
      <c r="T694">
        <f t="shared" si="70"/>
        <v>524.31000000000006</v>
      </c>
      <c r="U694">
        <f t="shared" si="71"/>
        <v>0</v>
      </c>
      <c r="V694">
        <f t="shared" si="72"/>
        <v>506.41</v>
      </c>
      <c r="W694">
        <f t="shared" si="73"/>
        <v>0</v>
      </c>
      <c r="X694">
        <f t="shared" si="74"/>
        <v>8</v>
      </c>
      <c r="Y694" cm="1">
        <f t="array" ref="Y694">_xlfn.IFS(H694=0.1,1,H694=0.15,1,H694=0.05,1,H694=0,0)</f>
        <v>0</v>
      </c>
      <c r="Z694">
        <f t="shared" si="75"/>
        <v>0</v>
      </c>
      <c r="AA694">
        <f t="shared" si="76"/>
        <v>2025</v>
      </c>
    </row>
    <row r="695" spans="1:27" x14ac:dyDescent="0.3">
      <c r="A695" s="2">
        <v>45344</v>
      </c>
      <c r="B695" t="s">
        <v>71</v>
      </c>
      <c r="C695" t="s">
        <v>81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1415</v>
      </c>
      <c r="O695" t="s">
        <v>1416</v>
      </c>
      <c r="P695">
        <v>30.58</v>
      </c>
      <c r="Q695" s="2">
        <v>45344</v>
      </c>
      <c r="R695" s="2">
        <v>45354</v>
      </c>
      <c r="S695" t="s">
        <v>74</v>
      </c>
      <c r="T695">
        <f t="shared" si="70"/>
        <v>1794.6699999999998</v>
      </c>
      <c r="U695">
        <f t="shared" si="71"/>
        <v>15</v>
      </c>
      <c r="V695">
        <f t="shared" si="72"/>
        <v>2075.3999999999996</v>
      </c>
      <c r="W695">
        <f t="shared" si="73"/>
        <v>311.30999999999972</v>
      </c>
      <c r="X695">
        <f t="shared" si="74"/>
        <v>10</v>
      </c>
      <c r="Y695" cm="1">
        <f t="array" ref="Y695">_xlfn.IFS(H695=0.1,1,H695=0.15,1,H695=0.05,1,H695=0,0)</f>
        <v>1</v>
      </c>
      <c r="Z695">
        <f t="shared" si="75"/>
        <v>6</v>
      </c>
      <c r="AA695">
        <f t="shared" si="76"/>
        <v>2024</v>
      </c>
    </row>
    <row r="696" spans="1:27" x14ac:dyDescent="0.3">
      <c r="A696" s="2">
        <v>45691</v>
      </c>
      <c r="B696" t="s">
        <v>19</v>
      </c>
      <c r="C696" t="s">
        <v>81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1417</v>
      </c>
      <c r="O696" t="s">
        <v>1418</v>
      </c>
      <c r="P696">
        <v>44.91</v>
      </c>
      <c r="Q696" s="2">
        <v>45691</v>
      </c>
      <c r="R696" s="2">
        <v>45696</v>
      </c>
      <c r="S696" t="s">
        <v>28</v>
      </c>
      <c r="T696">
        <f t="shared" si="70"/>
        <v>4405.92</v>
      </c>
      <c r="U696">
        <f t="shared" si="71"/>
        <v>15</v>
      </c>
      <c r="V696">
        <f t="shared" si="72"/>
        <v>5130.6000000000004</v>
      </c>
      <c r="W696">
        <f t="shared" si="73"/>
        <v>769.59000000000015</v>
      </c>
      <c r="X696">
        <f t="shared" si="74"/>
        <v>5</v>
      </c>
      <c r="Y696" cm="1">
        <f t="array" ref="Y696">_xlfn.IFS(H696=0.1,1,H696=0.15,1,H696=0.05,1,H696=0,0)</f>
        <v>1</v>
      </c>
      <c r="Z696">
        <f t="shared" si="75"/>
        <v>15</v>
      </c>
      <c r="AA696">
        <f t="shared" si="76"/>
        <v>2025</v>
      </c>
    </row>
    <row r="697" spans="1:27" x14ac:dyDescent="0.3">
      <c r="A697" s="2">
        <v>45300</v>
      </c>
      <c r="B697" t="s">
        <v>45</v>
      </c>
      <c r="C697" t="s">
        <v>132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1419</v>
      </c>
      <c r="O697" t="s">
        <v>1420</v>
      </c>
      <c r="P697">
        <v>18.920000000000002</v>
      </c>
      <c r="Q697" s="2">
        <v>45300</v>
      </c>
      <c r="R697" s="2">
        <v>45307</v>
      </c>
      <c r="S697" t="s">
        <v>50</v>
      </c>
      <c r="T697">
        <f t="shared" si="70"/>
        <v>4249.9160000000002</v>
      </c>
      <c r="U697">
        <f t="shared" si="71"/>
        <v>5</v>
      </c>
      <c r="V697">
        <f t="shared" si="72"/>
        <v>4453.68</v>
      </c>
      <c r="W697">
        <f t="shared" si="73"/>
        <v>222.6840000000002</v>
      </c>
      <c r="X697">
        <f t="shared" si="74"/>
        <v>7</v>
      </c>
      <c r="Y697" cm="1">
        <f t="array" ref="Y697">_xlfn.IFS(H697=0.1,1,H697=0.15,1,H697=0.05,1,H697=0,0)</f>
        <v>1</v>
      </c>
      <c r="Z697">
        <f t="shared" si="75"/>
        <v>11</v>
      </c>
      <c r="AA697">
        <f t="shared" si="76"/>
        <v>2024</v>
      </c>
    </row>
    <row r="698" spans="1:27" x14ac:dyDescent="0.3">
      <c r="A698" s="2">
        <v>45782</v>
      </c>
      <c r="B698" t="s">
        <v>39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L698" t="s">
        <v>59</v>
      </c>
      <c r="M698">
        <v>0</v>
      </c>
      <c r="N698" t="s">
        <v>1421</v>
      </c>
      <c r="O698" t="s">
        <v>1422</v>
      </c>
      <c r="P698">
        <v>34.26</v>
      </c>
      <c r="Q698" s="2">
        <v>45782</v>
      </c>
      <c r="R698" s="2">
        <v>45791</v>
      </c>
      <c r="S698" t="s">
        <v>44</v>
      </c>
      <c r="T698">
        <f t="shared" si="70"/>
        <v>2534.7930000000001</v>
      </c>
      <c r="U698">
        <f t="shared" si="71"/>
        <v>5</v>
      </c>
      <c r="V698">
        <f t="shared" si="72"/>
        <v>2632.14</v>
      </c>
      <c r="W698">
        <f t="shared" si="73"/>
        <v>131.60699999999997</v>
      </c>
      <c r="X698">
        <f t="shared" si="74"/>
        <v>9</v>
      </c>
      <c r="Y698" cm="1">
        <f t="array" ref="Y698">_xlfn.IFS(H698=0.1,1,H698=0.15,1,H698=0.05,1,H698=0,0)</f>
        <v>1</v>
      </c>
      <c r="Z698">
        <f t="shared" si="75"/>
        <v>9</v>
      </c>
      <c r="AA698">
        <f t="shared" si="76"/>
        <v>2025</v>
      </c>
    </row>
    <row r="699" spans="1:27" x14ac:dyDescent="0.3">
      <c r="A699" s="2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62</v>
      </c>
      <c r="L699" t="s">
        <v>59</v>
      </c>
      <c r="M699">
        <v>0</v>
      </c>
      <c r="N699" t="s">
        <v>1423</v>
      </c>
      <c r="O699" t="s">
        <v>1424</v>
      </c>
      <c r="P699">
        <v>24.68</v>
      </c>
      <c r="Q699" s="2">
        <v>45033</v>
      </c>
      <c r="R699" s="2">
        <v>45037</v>
      </c>
      <c r="S699" t="s">
        <v>50</v>
      </c>
      <c r="T699">
        <f t="shared" si="70"/>
        <v>2488.5650000000001</v>
      </c>
      <c r="U699">
        <f t="shared" si="71"/>
        <v>10</v>
      </c>
      <c r="V699">
        <f t="shared" si="72"/>
        <v>2737.6499999999996</v>
      </c>
      <c r="W699">
        <f t="shared" si="73"/>
        <v>273.76499999999942</v>
      </c>
      <c r="X699">
        <f t="shared" si="74"/>
        <v>4</v>
      </c>
      <c r="Y699" cm="1">
        <f t="array" ref="Y699">_xlfn.IFS(H699=0.1,1,H699=0.15,1,H699=0.05,1,H699=0,0)</f>
        <v>1</v>
      </c>
      <c r="Z699">
        <f t="shared" si="75"/>
        <v>5</v>
      </c>
      <c r="AA699">
        <f t="shared" si="76"/>
        <v>2023</v>
      </c>
    </row>
    <row r="700" spans="1:27" x14ac:dyDescent="0.3">
      <c r="A700" s="2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4186.5599999999986</v>
      </c>
      <c r="K700" t="s">
        <v>58</v>
      </c>
      <c r="L700" t="s">
        <v>35</v>
      </c>
      <c r="M700">
        <v>0</v>
      </c>
      <c r="N700" t="s">
        <v>1425</v>
      </c>
      <c r="O700" t="s">
        <v>1426</v>
      </c>
      <c r="P700">
        <v>31.28</v>
      </c>
      <c r="Q700" s="2">
        <v>45459</v>
      </c>
      <c r="R700" s="2">
        <v>45464</v>
      </c>
      <c r="S700" t="s">
        <v>38</v>
      </c>
      <c r="T700">
        <f t="shared" si="70"/>
        <v>4217.8399999999983</v>
      </c>
      <c r="U700">
        <f t="shared" si="71"/>
        <v>0</v>
      </c>
      <c r="V700">
        <f t="shared" si="72"/>
        <v>4186.5599999999995</v>
      </c>
      <c r="W700">
        <f t="shared" si="73"/>
        <v>0</v>
      </c>
      <c r="X700">
        <f t="shared" si="74"/>
        <v>5</v>
      </c>
      <c r="Y700" cm="1">
        <f t="array" ref="Y700">_xlfn.IFS(H700=0.1,1,H700=0.15,1,H700=0.05,1,H700=0,0)</f>
        <v>0</v>
      </c>
      <c r="Z700">
        <f t="shared" si="75"/>
        <v>0</v>
      </c>
      <c r="AA700">
        <f t="shared" si="76"/>
        <v>2024</v>
      </c>
    </row>
    <row r="701" spans="1:27" x14ac:dyDescent="0.3">
      <c r="A701" s="2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62</v>
      </c>
      <c r="L701" t="s">
        <v>41</v>
      </c>
      <c r="M701">
        <v>0</v>
      </c>
      <c r="N701" t="s">
        <v>1427</v>
      </c>
      <c r="O701" t="s">
        <v>1428</v>
      </c>
      <c r="P701">
        <v>14.9</v>
      </c>
      <c r="Q701" s="2">
        <v>45597</v>
      </c>
      <c r="R701" s="2">
        <v>45600</v>
      </c>
      <c r="S701" t="s">
        <v>38</v>
      </c>
      <c r="T701">
        <f t="shared" si="70"/>
        <v>7305.3499999999995</v>
      </c>
      <c r="U701">
        <f t="shared" si="71"/>
        <v>0</v>
      </c>
      <c r="V701">
        <f t="shared" si="72"/>
        <v>7290.45</v>
      </c>
      <c r="W701">
        <f t="shared" si="73"/>
        <v>0</v>
      </c>
      <c r="X701">
        <f t="shared" si="74"/>
        <v>3</v>
      </c>
      <c r="Y701" cm="1">
        <f t="array" ref="Y701">_xlfn.IFS(H701=0.1,1,H701=0.15,1,H701=0.05,1,H701=0,0)</f>
        <v>0</v>
      </c>
      <c r="Z701">
        <f t="shared" si="75"/>
        <v>0</v>
      </c>
      <c r="AA701">
        <f t="shared" si="76"/>
        <v>2024</v>
      </c>
    </row>
    <row r="702" spans="1:27" x14ac:dyDescent="0.3">
      <c r="A702" s="2">
        <v>45695</v>
      </c>
      <c r="B702" t="s">
        <v>19</v>
      </c>
      <c r="C702" t="s">
        <v>81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68</v>
      </c>
      <c r="J702">
        <v>1893.171</v>
      </c>
      <c r="K702" t="s">
        <v>62</v>
      </c>
      <c r="L702" t="s">
        <v>25</v>
      </c>
      <c r="M702">
        <v>0</v>
      </c>
      <c r="N702" t="s">
        <v>1429</v>
      </c>
      <c r="O702" t="s">
        <v>1430</v>
      </c>
      <c r="P702">
        <v>27.05</v>
      </c>
      <c r="Q702" s="2">
        <v>45695</v>
      </c>
      <c r="R702" s="2">
        <v>45698</v>
      </c>
      <c r="S702" t="s">
        <v>28</v>
      </c>
      <c r="T702">
        <f t="shared" si="70"/>
        <v>1920.221</v>
      </c>
      <c r="U702">
        <f t="shared" si="71"/>
        <v>15</v>
      </c>
      <c r="V702">
        <f t="shared" si="72"/>
        <v>2227.2600000000002</v>
      </c>
      <c r="W702">
        <f t="shared" si="73"/>
        <v>334.08900000000017</v>
      </c>
      <c r="X702">
        <f t="shared" si="74"/>
        <v>3</v>
      </c>
      <c r="Y702" cm="1">
        <f t="array" ref="Y702">_xlfn.IFS(H702=0.1,1,H702=0.15,1,H702=0.05,1,H702=0,0)</f>
        <v>1</v>
      </c>
      <c r="Z702">
        <f t="shared" si="75"/>
        <v>14</v>
      </c>
      <c r="AA702">
        <f t="shared" si="76"/>
        <v>2025</v>
      </c>
    </row>
    <row r="703" spans="1:27" x14ac:dyDescent="0.3">
      <c r="A703" s="2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L703" t="s">
        <v>59</v>
      </c>
      <c r="M703">
        <v>0</v>
      </c>
      <c r="N703" t="s">
        <v>1431</v>
      </c>
      <c r="O703" t="s">
        <v>1432</v>
      </c>
      <c r="P703">
        <v>21.23</v>
      </c>
      <c r="Q703" s="2">
        <v>45620</v>
      </c>
      <c r="R703" s="2">
        <v>45630</v>
      </c>
      <c r="S703" t="s">
        <v>38</v>
      </c>
      <c r="T703">
        <f t="shared" si="70"/>
        <v>1793.8879999999999</v>
      </c>
      <c r="U703">
        <f t="shared" si="71"/>
        <v>15</v>
      </c>
      <c r="V703">
        <f t="shared" si="72"/>
        <v>2085.48</v>
      </c>
      <c r="W703">
        <f t="shared" si="73"/>
        <v>312.82200000000012</v>
      </c>
      <c r="X703">
        <f t="shared" si="74"/>
        <v>10</v>
      </c>
      <c r="Y703" cm="1">
        <f t="array" ref="Y703">_xlfn.IFS(H703=0.1,1,H703=0.15,1,H703=0.05,1,H703=0,0)</f>
        <v>1</v>
      </c>
      <c r="Z703">
        <f t="shared" si="75"/>
        <v>12</v>
      </c>
      <c r="AA703">
        <f t="shared" si="76"/>
        <v>2024</v>
      </c>
    </row>
    <row r="704" spans="1:27" x14ac:dyDescent="0.3">
      <c r="A704" s="2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L704" t="s">
        <v>59</v>
      </c>
      <c r="M704">
        <v>1</v>
      </c>
      <c r="N704" t="s">
        <v>1433</v>
      </c>
      <c r="O704" t="s">
        <v>658</v>
      </c>
      <c r="P704">
        <v>12.23</v>
      </c>
      <c r="Q704" s="2">
        <v>45405</v>
      </c>
      <c r="R704" s="2">
        <v>45414</v>
      </c>
      <c r="S704" t="s">
        <v>50</v>
      </c>
      <c r="T704">
        <f t="shared" si="70"/>
        <v>5729.98</v>
      </c>
      <c r="U704">
        <f t="shared" si="71"/>
        <v>0</v>
      </c>
      <c r="V704">
        <f t="shared" si="72"/>
        <v>5716.75</v>
      </c>
      <c r="W704">
        <f t="shared" si="73"/>
        <v>0</v>
      </c>
      <c r="X704">
        <f t="shared" si="74"/>
        <v>9</v>
      </c>
      <c r="Y704" cm="1">
        <f t="array" ref="Y704">_xlfn.IFS(H704=0.1,1,H704=0.15,1,H704=0.05,1,H704=0,0)</f>
        <v>0</v>
      </c>
      <c r="Z704">
        <f t="shared" si="75"/>
        <v>0</v>
      </c>
      <c r="AA704">
        <f t="shared" si="76"/>
        <v>2024</v>
      </c>
    </row>
    <row r="705" spans="1:27" x14ac:dyDescent="0.3">
      <c r="A705" s="2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1434</v>
      </c>
      <c r="O705" t="s">
        <v>1435</v>
      </c>
      <c r="P705">
        <v>40.18</v>
      </c>
      <c r="Q705" s="2">
        <v>45467</v>
      </c>
      <c r="R705" s="2">
        <v>45470</v>
      </c>
      <c r="S705" t="s">
        <v>28</v>
      </c>
      <c r="T705">
        <f t="shared" si="70"/>
        <v>2309.6064999999999</v>
      </c>
      <c r="U705">
        <f t="shared" si="71"/>
        <v>5</v>
      </c>
      <c r="V705">
        <f t="shared" si="72"/>
        <v>2388.87</v>
      </c>
      <c r="W705">
        <f t="shared" si="73"/>
        <v>119.44349999999986</v>
      </c>
      <c r="X705">
        <f t="shared" si="74"/>
        <v>3</v>
      </c>
      <c r="Y705" cm="1">
        <f t="array" ref="Y705">_xlfn.IFS(H705=0.1,1,H705=0.15,1,H705=0.05,1,H705=0,0)</f>
        <v>1</v>
      </c>
      <c r="Z705">
        <f t="shared" si="75"/>
        <v>9</v>
      </c>
      <c r="AA705">
        <f t="shared" si="76"/>
        <v>2024</v>
      </c>
    </row>
    <row r="706" spans="1:27" x14ac:dyDescent="0.3">
      <c r="A706" s="2">
        <v>45809</v>
      </c>
      <c r="B706" t="s">
        <v>71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65</v>
      </c>
      <c r="L706" t="s">
        <v>25</v>
      </c>
      <c r="M706">
        <v>1</v>
      </c>
      <c r="N706" t="s">
        <v>1436</v>
      </c>
      <c r="O706" t="s">
        <v>1437</v>
      </c>
      <c r="P706">
        <v>5.55</v>
      </c>
      <c r="Q706" s="2">
        <v>45809</v>
      </c>
      <c r="R706" s="2">
        <v>45815</v>
      </c>
      <c r="S706" t="s">
        <v>74</v>
      </c>
      <c r="T706">
        <f t="shared" si="70"/>
        <v>3141.5740000000001</v>
      </c>
      <c r="U706">
        <f t="shared" si="71"/>
        <v>10</v>
      </c>
      <c r="V706">
        <f t="shared" si="72"/>
        <v>3483.3599999999997</v>
      </c>
      <c r="W706">
        <f t="shared" si="73"/>
        <v>348.33599999999979</v>
      </c>
      <c r="X706">
        <f t="shared" si="74"/>
        <v>6</v>
      </c>
      <c r="Y706" cm="1">
        <f t="array" ref="Y706">_xlfn.IFS(H706=0.1,1,H706=0.15,1,H706=0.05,1,H706=0,0)</f>
        <v>1</v>
      </c>
      <c r="Z706">
        <f t="shared" si="75"/>
        <v>12</v>
      </c>
      <c r="AA706">
        <f t="shared" si="76"/>
        <v>2025</v>
      </c>
    </row>
    <row r="707" spans="1:27" x14ac:dyDescent="0.3">
      <c r="A707" s="2">
        <v>44997</v>
      </c>
      <c r="B707" t="s">
        <v>71</v>
      </c>
      <c r="C707" t="s">
        <v>81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L707" t="s">
        <v>59</v>
      </c>
      <c r="M707">
        <v>0</v>
      </c>
      <c r="N707" t="s">
        <v>1438</v>
      </c>
      <c r="O707" t="s">
        <v>1439</v>
      </c>
      <c r="P707">
        <v>16.98</v>
      </c>
      <c r="Q707" s="2">
        <v>44997</v>
      </c>
      <c r="R707" s="2">
        <v>44999</v>
      </c>
      <c r="S707" t="s">
        <v>74</v>
      </c>
      <c r="T707">
        <f t="shared" ref="T707:T770" si="77">SUM(J707:P707)</f>
        <v>549.18000000000006</v>
      </c>
      <c r="U707">
        <f t="shared" ref="U707:U770" si="78">PRODUCT(100,H707)</f>
        <v>0</v>
      </c>
      <c r="V707">
        <f t="shared" ref="V707:V770" si="79">PRODUCT(D707:E707)</f>
        <v>532.20000000000005</v>
      </c>
      <c r="W707">
        <f t="shared" ref="W707:W770" si="80" xml:space="preserve"> V707-J707</f>
        <v>0</v>
      </c>
      <c r="X707">
        <f t="shared" ref="X707:X770" si="81">R707-Q707</f>
        <v>2</v>
      </c>
      <c r="Y707" cm="1">
        <f t="array" ref="Y707">_xlfn.IFS(H707=0.1,1,H707=0.15,1,H707=0.05,1,H707=0,0)</f>
        <v>0</v>
      </c>
      <c r="Z707">
        <f t="shared" ref="Z707:Z770" si="82">PRODUCT(Y707,D707)</f>
        <v>0</v>
      </c>
      <c r="AA707">
        <f t="shared" ref="AA707:AA770" si="83">YEAR(A707)</f>
        <v>2023</v>
      </c>
    </row>
    <row r="708" spans="1:27" x14ac:dyDescent="0.3">
      <c r="A708" s="2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1440</v>
      </c>
      <c r="O708" t="s">
        <v>1441</v>
      </c>
      <c r="P708">
        <v>28.96</v>
      </c>
      <c r="Q708" s="2">
        <v>45607</v>
      </c>
      <c r="R708" s="2">
        <v>45615</v>
      </c>
      <c r="S708" t="s">
        <v>50</v>
      </c>
      <c r="T708">
        <f t="shared" si="77"/>
        <v>508.34</v>
      </c>
      <c r="U708">
        <f t="shared" si="78"/>
        <v>0</v>
      </c>
      <c r="V708">
        <f t="shared" si="79"/>
        <v>479.38</v>
      </c>
      <c r="W708">
        <f t="shared" si="80"/>
        <v>0</v>
      </c>
      <c r="X708">
        <f t="shared" si="81"/>
        <v>8</v>
      </c>
      <c r="Y708" cm="1">
        <f t="array" ref="Y708">_xlfn.IFS(H708=0.1,1,H708=0.15,1,H708=0.05,1,H708=0,0)</f>
        <v>0</v>
      </c>
      <c r="Z708">
        <f t="shared" si="82"/>
        <v>0</v>
      </c>
      <c r="AA708">
        <f t="shared" si="83"/>
        <v>2024</v>
      </c>
    </row>
    <row r="709" spans="1:27" x14ac:dyDescent="0.3">
      <c r="A709" s="2">
        <v>45582</v>
      </c>
      <c r="B709" t="s">
        <v>45</v>
      </c>
      <c r="C709" t="s">
        <v>81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68</v>
      </c>
      <c r="J709">
        <v>286.488</v>
      </c>
      <c r="K709" t="s">
        <v>58</v>
      </c>
      <c r="L709" t="s">
        <v>35</v>
      </c>
      <c r="M709">
        <v>0</v>
      </c>
      <c r="N709" t="s">
        <v>1442</v>
      </c>
      <c r="O709" t="s">
        <v>1443</v>
      </c>
      <c r="P709">
        <v>46.16</v>
      </c>
      <c r="Q709" s="2">
        <v>45582</v>
      </c>
      <c r="R709" s="2">
        <v>45591</v>
      </c>
      <c r="S709" t="s">
        <v>50</v>
      </c>
      <c r="T709">
        <f t="shared" si="77"/>
        <v>332.64800000000002</v>
      </c>
      <c r="U709">
        <f t="shared" si="78"/>
        <v>10</v>
      </c>
      <c r="V709">
        <f t="shared" si="79"/>
        <v>318.32</v>
      </c>
      <c r="W709">
        <f t="shared" si="80"/>
        <v>31.831999999999994</v>
      </c>
      <c r="X709">
        <f t="shared" si="81"/>
        <v>9</v>
      </c>
      <c r="Y709" cm="1">
        <f t="array" ref="Y709">_xlfn.IFS(H709=0.1,1,H709=0.15,1,H709=0.05,1,H709=0,0)</f>
        <v>1</v>
      </c>
      <c r="Z709">
        <f t="shared" si="82"/>
        <v>8</v>
      </c>
      <c r="AA709">
        <f t="shared" si="83"/>
        <v>2024</v>
      </c>
    </row>
    <row r="710" spans="1:27" x14ac:dyDescent="0.3">
      <c r="A710" s="2">
        <v>45056</v>
      </c>
      <c r="B710" t="s">
        <v>19</v>
      </c>
      <c r="C710" t="s">
        <v>132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62</v>
      </c>
      <c r="L710" t="s">
        <v>25</v>
      </c>
      <c r="M710">
        <v>1</v>
      </c>
      <c r="N710" t="s">
        <v>1444</v>
      </c>
      <c r="O710" t="s">
        <v>1445</v>
      </c>
      <c r="P710">
        <v>39.25</v>
      </c>
      <c r="Q710" s="2">
        <v>45056</v>
      </c>
      <c r="R710" s="2">
        <v>45059</v>
      </c>
      <c r="S710" t="s">
        <v>28</v>
      </c>
      <c r="T710">
        <f t="shared" si="77"/>
        <v>3576.53</v>
      </c>
      <c r="U710">
        <f t="shared" si="78"/>
        <v>5</v>
      </c>
      <c r="V710">
        <f t="shared" si="79"/>
        <v>3722.4</v>
      </c>
      <c r="W710">
        <f t="shared" si="80"/>
        <v>186.11999999999989</v>
      </c>
      <c r="X710">
        <f t="shared" si="81"/>
        <v>3</v>
      </c>
      <c r="Y710" cm="1">
        <f t="array" ref="Y710">_xlfn.IFS(H710=0.1,1,H710=0.15,1,H710=0.05,1,H710=0,0)</f>
        <v>1</v>
      </c>
      <c r="Z710">
        <f t="shared" si="82"/>
        <v>18</v>
      </c>
      <c r="AA710">
        <f t="shared" si="83"/>
        <v>2023</v>
      </c>
    </row>
    <row r="711" spans="1:27" x14ac:dyDescent="0.3">
      <c r="A711" s="2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1446</v>
      </c>
      <c r="O711" t="s">
        <v>1447</v>
      </c>
      <c r="P711">
        <v>26.97</v>
      </c>
      <c r="Q711" s="2">
        <v>45136</v>
      </c>
      <c r="R711" s="2">
        <v>45145</v>
      </c>
      <c r="S711" t="s">
        <v>28</v>
      </c>
      <c r="T711">
        <f t="shared" si="77"/>
        <v>3192.5499999999997</v>
      </c>
      <c r="U711">
        <f t="shared" si="78"/>
        <v>0</v>
      </c>
      <c r="V711">
        <f t="shared" si="79"/>
        <v>3164.58</v>
      </c>
      <c r="W711">
        <f t="shared" si="80"/>
        <v>0</v>
      </c>
      <c r="X711">
        <f t="shared" si="81"/>
        <v>9</v>
      </c>
      <c r="Y711" cm="1">
        <f t="array" ref="Y711">_xlfn.IFS(H711=0.1,1,H711=0.15,1,H711=0.05,1,H711=0,0)</f>
        <v>0</v>
      </c>
      <c r="Z711">
        <f t="shared" si="82"/>
        <v>0</v>
      </c>
      <c r="AA711">
        <f t="shared" si="83"/>
        <v>2023</v>
      </c>
    </row>
    <row r="712" spans="1:27" x14ac:dyDescent="0.3">
      <c r="A712" s="2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1448</v>
      </c>
      <c r="O712" t="s">
        <v>1449</v>
      </c>
      <c r="P712">
        <v>25.24</v>
      </c>
      <c r="Q712" s="2">
        <v>45164</v>
      </c>
      <c r="R712" s="2">
        <v>45167</v>
      </c>
      <c r="S712" t="s">
        <v>50</v>
      </c>
      <c r="T712">
        <f t="shared" si="77"/>
        <v>6538.8239999999996</v>
      </c>
      <c r="U712">
        <f t="shared" si="78"/>
        <v>15</v>
      </c>
      <c r="V712">
        <f t="shared" si="79"/>
        <v>7663.04</v>
      </c>
      <c r="W712">
        <f t="shared" si="80"/>
        <v>1149.4560000000001</v>
      </c>
      <c r="X712">
        <f t="shared" si="81"/>
        <v>3</v>
      </c>
      <c r="Y712" cm="1">
        <f t="array" ref="Y712">_xlfn.IFS(H712=0.1,1,H712=0.15,1,H712=0.05,1,H712=0,0)</f>
        <v>1</v>
      </c>
      <c r="Z712">
        <f t="shared" si="82"/>
        <v>14</v>
      </c>
      <c r="AA712">
        <f t="shared" si="83"/>
        <v>2023</v>
      </c>
    </row>
    <row r="713" spans="1:27" x14ac:dyDescent="0.3">
      <c r="A713" s="2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6765.1399999999994</v>
      </c>
      <c r="K713" t="s">
        <v>24</v>
      </c>
      <c r="L713" t="s">
        <v>41</v>
      </c>
      <c r="M713">
        <v>0</v>
      </c>
      <c r="N713" t="s">
        <v>1450</v>
      </c>
      <c r="O713" t="s">
        <v>1451</v>
      </c>
      <c r="P713">
        <v>41.67</v>
      </c>
      <c r="Q713" s="2">
        <v>45288</v>
      </c>
      <c r="R713" s="2">
        <v>45294</v>
      </c>
      <c r="S713" t="s">
        <v>28</v>
      </c>
      <c r="T713">
        <f t="shared" si="77"/>
        <v>6806.8099999999995</v>
      </c>
      <c r="U713">
        <f t="shared" si="78"/>
        <v>5</v>
      </c>
      <c r="V713">
        <f t="shared" si="79"/>
        <v>7121.2</v>
      </c>
      <c r="W713">
        <f t="shared" si="80"/>
        <v>356.0600000000004</v>
      </c>
      <c r="X713">
        <f t="shared" si="81"/>
        <v>6</v>
      </c>
      <c r="Y713" cm="1">
        <f t="array" ref="Y713">_xlfn.IFS(H713=0.1,1,H713=0.15,1,H713=0.05,1,H713=0,0)</f>
        <v>1</v>
      </c>
      <c r="Z713">
        <f t="shared" si="82"/>
        <v>19</v>
      </c>
      <c r="AA713">
        <f t="shared" si="83"/>
        <v>2023</v>
      </c>
    </row>
    <row r="714" spans="1:27" x14ac:dyDescent="0.3">
      <c r="A714" s="2">
        <v>45726</v>
      </c>
      <c r="B714" t="s">
        <v>39</v>
      </c>
      <c r="C714" t="s">
        <v>81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68</v>
      </c>
      <c r="J714">
        <v>3884.2109999999998</v>
      </c>
      <c r="K714" t="s">
        <v>65</v>
      </c>
      <c r="L714" t="s">
        <v>25</v>
      </c>
      <c r="M714">
        <v>1</v>
      </c>
      <c r="N714" t="s">
        <v>1452</v>
      </c>
      <c r="O714" t="s">
        <v>1453</v>
      </c>
      <c r="P714">
        <v>22.08</v>
      </c>
      <c r="Q714" s="2">
        <v>45726</v>
      </c>
      <c r="R714" s="2">
        <v>45733</v>
      </c>
      <c r="S714" t="s">
        <v>44</v>
      </c>
      <c r="T714">
        <f t="shared" si="77"/>
        <v>3907.2909999999997</v>
      </c>
      <c r="U714">
        <f t="shared" si="78"/>
        <v>15</v>
      </c>
      <c r="V714">
        <f t="shared" si="79"/>
        <v>4569.66</v>
      </c>
      <c r="W714">
        <f t="shared" si="80"/>
        <v>685.44900000000007</v>
      </c>
      <c r="X714">
        <f t="shared" si="81"/>
        <v>7</v>
      </c>
      <c r="Y714" cm="1">
        <f t="array" ref="Y714">_xlfn.IFS(H714=0.1,1,H714=0.15,1,H714=0.05,1,H714=0,0)</f>
        <v>1</v>
      </c>
      <c r="Z714">
        <f t="shared" si="82"/>
        <v>9</v>
      </c>
      <c r="AA714">
        <f t="shared" si="83"/>
        <v>2025</v>
      </c>
    </row>
    <row r="715" spans="1:27" x14ac:dyDescent="0.3">
      <c r="A715" s="2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68</v>
      </c>
      <c r="J715">
        <v>190.02600000000001</v>
      </c>
      <c r="K715" t="s">
        <v>58</v>
      </c>
      <c r="L715" t="s">
        <v>41</v>
      </c>
      <c r="M715">
        <v>0</v>
      </c>
      <c r="N715" t="s">
        <v>1454</v>
      </c>
      <c r="O715" t="s">
        <v>1455</v>
      </c>
      <c r="P715">
        <v>37.840000000000003</v>
      </c>
      <c r="Q715" s="2">
        <v>45178</v>
      </c>
      <c r="R715" s="2">
        <v>45183</v>
      </c>
      <c r="S715" t="s">
        <v>50</v>
      </c>
      <c r="T715">
        <f t="shared" si="77"/>
        <v>227.86600000000001</v>
      </c>
      <c r="U715">
        <f t="shared" si="78"/>
        <v>15</v>
      </c>
      <c r="V715">
        <f t="shared" si="79"/>
        <v>223.56</v>
      </c>
      <c r="W715">
        <f t="shared" si="80"/>
        <v>33.533999999999992</v>
      </c>
      <c r="X715">
        <f t="shared" si="81"/>
        <v>5</v>
      </c>
      <c r="Y715" cm="1">
        <f t="array" ref="Y715">_xlfn.IFS(H715=0.1,1,H715=0.15,1,H715=0.05,1,H715=0,0)</f>
        <v>1</v>
      </c>
      <c r="Z715">
        <f t="shared" si="82"/>
        <v>1</v>
      </c>
      <c r="AA715">
        <f t="shared" si="83"/>
        <v>2023</v>
      </c>
    </row>
    <row r="716" spans="1:27" x14ac:dyDescent="0.3">
      <c r="A716" s="2">
        <v>45074</v>
      </c>
      <c r="B716" t="s">
        <v>39</v>
      </c>
      <c r="C716" t="s">
        <v>81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L716" t="s">
        <v>59</v>
      </c>
      <c r="M716">
        <v>0</v>
      </c>
      <c r="N716" t="s">
        <v>1456</v>
      </c>
      <c r="O716" t="s">
        <v>1457</v>
      </c>
      <c r="P716">
        <v>9.0500000000000007</v>
      </c>
      <c r="Q716" s="2">
        <v>45074</v>
      </c>
      <c r="R716" s="2">
        <v>45078</v>
      </c>
      <c r="S716" t="s">
        <v>44</v>
      </c>
      <c r="T716">
        <f t="shared" si="77"/>
        <v>538.73599999999999</v>
      </c>
      <c r="U716">
        <f t="shared" si="78"/>
        <v>10</v>
      </c>
      <c r="V716">
        <f t="shared" si="79"/>
        <v>588.54</v>
      </c>
      <c r="W716">
        <f t="shared" si="80"/>
        <v>58.853999999999928</v>
      </c>
      <c r="X716">
        <f t="shared" si="81"/>
        <v>4</v>
      </c>
      <c r="Y716" cm="1">
        <f t="array" ref="Y716">_xlfn.IFS(H716=0.1,1,H716=0.15,1,H716=0.05,1,H716=0,0)</f>
        <v>1</v>
      </c>
      <c r="Z716">
        <f t="shared" si="82"/>
        <v>2</v>
      </c>
      <c r="AA716">
        <f t="shared" si="83"/>
        <v>2023</v>
      </c>
    </row>
    <row r="717" spans="1:27" x14ac:dyDescent="0.3">
      <c r="A717" s="2">
        <v>45798</v>
      </c>
      <c r="B717" t="s">
        <v>71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1458</v>
      </c>
      <c r="O717" t="s">
        <v>1459</v>
      </c>
      <c r="P717">
        <v>18.100000000000001</v>
      </c>
      <c r="Q717" s="2">
        <v>45798</v>
      </c>
      <c r="R717" s="2">
        <v>45808</v>
      </c>
      <c r="S717" t="s">
        <v>74</v>
      </c>
      <c r="T717">
        <f t="shared" si="77"/>
        <v>290.66650000000004</v>
      </c>
      <c r="U717">
        <f t="shared" si="78"/>
        <v>15</v>
      </c>
      <c r="V717">
        <f t="shared" si="79"/>
        <v>319.49</v>
      </c>
      <c r="W717">
        <f t="shared" si="80"/>
        <v>47.92349999999999</v>
      </c>
      <c r="X717">
        <f t="shared" si="81"/>
        <v>10</v>
      </c>
      <c r="Y717" cm="1">
        <f t="array" ref="Y717">_xlfn.IFS(H717=0.1,1,H717=0.15,1,H717=0.05,1,H717=0,0)</f>
        <v>1</v>
      </c>
      <c r="Z717">
        <f t="shared" si="82"/>
        <v>1</v>
      </c>
      <c r="AA717">
        <f t="shared" si="83"/>
        <v>2025</v>
      </c>
    </row>
    <row r="718" spans="1:27" x14ac:dyDescent="0.3">
      <c r="A718" s="2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L718" t="s">
        <v>59</v>
      </c>
      <c r="M718">
        <v>1</v>
      </c>
      <c r="N718" t="s">
        <v>1460</v>
      </c>
      <c r="O718" t="s">
        <v>1461</v>
      </c>
      <c r="P718">
        <v>13.24</v>
      </c>
      <c r="Q718" s="2">
        <v>45199</v>
      </c>
      <c r="R718" s="2">
        <v>45203</v>
      </c>
      <c r="S718" t="s">
        <v>28</v>
      </c>
      <c r="T718">
        <f t="shared" si="77"/>
        <v>3258.9079999999999</v>
      </c>
      <c r="U718">
        <f t="shared" si="78"/>
        <v>5</v>
      </c>
      <c r="V718">
        <f t="shared" si="79"/>
        <v>3415.44</v>
      </c>
      <c r="W718">
        <f t="shared" si="80"/>
        <v>170.77199999999993</v>
      </c>
      <c r="X718">
        <f t="shared" si="81"/>
        <v>4</v>
      </c>
      <c r="Y718" cm="1">
        <f t="array" ref="Y718">_xlfn.IFS(H718=0.1,1,H718=0.15,1,H718=0.05,1,H718=0,0)</f>
        <v>1</v>
      </c>
      <c r="Z718">
        <f t="shared" si="82"/>
        <v>14</v>
      </c>
      <c r="AA718">
        <f t="shared" si="83"/>
        <v>2023</v>
      </c>
    </row>
    <row r="719" spans="1:27" x14ac:dyDescent="0.3">
      <c r="A719" s="2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L719" t="s">
        <v>59</v>
      </c>
      <c r="M719">
        <v>0</v>
      </c>
      <c r="N719" t="s">
        <v>1462</v>
      </c>
      <c r="O719" t="s">
        <v>1463</v>
      </c>
      <c r="P719">
        <v>6.11</v>
      </c>
      <c r="Q719" s="2">
        <v>45573</v>
      </c>
      <c r="R719" s="2">
        <v>45578</v>
      </c>
      <c r="S719" t="s">
        <v>38</v>
      </c>
      <c r="T719">
        <f t="shared" si="77"/>
        <v>267.90199999999999</v>
      </c>
      <c r="U719">
        <f t="shared" si="78"/>
        <v>10</v>
      </c>
      <c r="V719">
        <f t="shared" si="79"/>
        <v>290.88</v>
      </c>
      <c r="W719">
        <f t="shared" si="80"/>
        <v>29.088000000000022</v>
      </c>
      <c r="X719">
        <f t="shared" si="81"/>
        <v>5</v>
      </c>
      <c r="Y719" cm="1">
        <f t="array" ref="Y719">_xlfn.IFS(H719=0.1,1,H719=0.15,1,H719=0.05,1,H719=0,0)</f>
        <v>1</v>
      </c>
      <c r="Z719">
        <f t="shared" si="82"/>
        <v>6</v>
      </c>
      <c r="AA719">
        <f t="shared" si="83"/>
        <v>2024</v>
      </c>
    </row>
    <row r="720" spans="1:27" x14ac:dyDescent="0.3">
      <c r="A720" s="2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1464</v>
      </c>
      <c r="O720" t="s">
        <v>1465</v>
      </c>
      <c r="P720">
        <v>48.48</v>
      </c>
      <c r="Q720" s="2">
        <v>45030</v>
      </c>
      <c r="R720" s="2">
        <v>45039</v>
      </c>
      <c r="S720" t="s">
        <v>28</v>
      </c>
      <c r="T720">
        <f t="shared" si="77"/>
        <v>1797.88</v>
      </c>
      <c r="U720">
        <f t="shared" si="78"/>
        <v>0</v>
      </c>
      <c r="V720">
        <f t="shared" si="79"/>
        <v>1749.4</v>
      </c>
      <c r="W720">
        <f t="shared" si="80"/>
        <v>0</v>
      </c>
      <c r="X720">
        <f t="shared" si="81"/>
        <v>9</v>
      </c>
      <c r="Y720" cm="1">
        <f t="array" ref="Y720">_xlfn.IFS(H720=0.1,1,H720=0.15,1,H720=0.05,1,H720=0,0)</f>
        <v>0</v>
      </c>
      <c r="Z720">
        <f t="shared" si="82"/>
        <v>0</v>
      </c>
      <c r="AA720">
        <f t="shared" si="83"/>
        <v>2023</v>
      </c>
    </row>
    <row r="721" spans="1:27" x14ac:dyDescent="0.3">
      <c r="A721" s="2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68</v>
      </c>
      <c r="J721">
        <v>7123.6800000000012</v>
      </c>
      <c r="K721" t="s">
        <v>62</v>
      </c>
      <c r="L721" t="s">
        <v>35</v>
      </c>
      <c r="M721">
        <v>0</v>
      </c>
      <c r="N721" t="s">
        <v>1466</v>
      </c>
      <c r="O721" t="s">
        <v>1467</v>
      </c>
      <c r="P721">
        <v>7.76</v>
      </c>
      <c r="Q721" s="2">
        <v>44990</v>
      </c>
      <c r="R721" s="2">
        <v>44995</v>
      </c>
      <c r="S721" t="s">
        <v>38</v>
      </c>
      <c r="T721">
        <f t="shared" si="77"/>
        <v>7131.4400000000014</v>
      </c>
      <c r="U721">
        <f t="shared" si="78"/>
        <v>10</v>
      </c>
      <c r="V721">
        <f t="shared" si="79"/>
        <v>7915.2000000000007</v>
      </c>
      <c r="W721">
        <f t="shared" si="80"/>
        <v>791.51999999999953</v>
      </c>
      <c r="X721">
        <f t="shared" si="81"/>
        <v>5</v>
      </c>
      <c r="Y721" cm="1">
        <f t="array" ref="Y721">_xlfn.IFS(H721=0.1,1,H721=0.15,1,H721=0.05,1,H721=0,0)</f>
        <v>1</v>
      </c>
      <c r="Z721">
        <f t="shared" si="82"/>
        <v>17</v>
      </c>
      <c r="AA721">
        <f t="shared" si="83"/>
        <v>2023</v>
      </c>
    </row>
    <row r="722" spans="1:27" x14ac:dyDescent="0.3">
      <c r="A722" s="2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1468</v>
      </c>
      <c r="O722" t="s">
        <v>1469</v>
      </c>
      <c r="P722">
        <v>30.3</v>
      </c>
      <c r="Q722" s="2">
        <v>45490</v>
      </c>
      <c r="R722" s="2">
        <v>45493</v>
      </c>
      <c r="S722" t="s">
        <v>44</v>
      </c>
      <c r="T722">
        <f t="shared" si="77"/>
        <v>4542.2870000000003</v>
      </c>
      <c r="U722">
        <f t="shared" si="78"/>
        <v>5</v>
      </c>
      <c r="V722">
        <f t="shared" si="79"/>
        <v>4749.46</v>
      </c>
      <c r="W722">
        <f t="shared" si="80"/>
        <v>237.47299999999996</v>
      </c>
      <c r="X722">
        <f t="shared" si="81"/>
        <v>3</v>
      </c>
      <c r="Y722" cm="1">
        <f t="array" ref="Y722">_xlfn.IFS(H722=0.1,1,H722=0.15,1,H722=0.05,1,H722=0,0)</f>
        <v>1</v>
      </c>
      <c r="Z722">
        <f t="shared" si="82"/>
        <v>17</v>
      </c>
      <c r="AA722">
        <f t="shared" si="83"/>
        <v>2024</v>
      </c>
    </row>
    <row r="723" spans="1:27" x14ac:dyDescent="0.3">
      <c r="A723" s="2">
        <v>45432</v>
      </c>
      <c r="B723" t="s">
        <v>39</v>
      </c>
      <c r="C723" t="s">
        <v>81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6158.5920000000006</v>
      </c>
      <c r="K723" t="s">
        <v>62</v>
      </c>
      <c r="L723" t="s">
        <v>59</v>
      </c>
      <c r="M723">
        <v>0</v>
      </c>
      <c r="N723" t="s">
        <v>1470</v>
      </c>
      <c r="O723" t="s">
        <v>1471</v>
      </c>
      <c r="P723">
        <v>18.72</v>
      </c>
      <c r="Q723" s="2">
        <v>45432</v>
      </c>
      <c r="R723" s="2">
        <v>45441</v>
      </c>
      <c r="S723" t="s">
        <v>44</v>
      </c>
      <c r="T723">
        <f t="shared" si="77"/>
        <v>6177.3120000000008</v>
      </c>
      <c r="U723">
        <f t="shared" si="78"/>
        <v>10</v>
      </c>
      <c r="V723">
        <f t="shared" si="79"/>
        <v>6842.88</v>
      </c>
      <c r="W723">
        <f t="shared" si="80"/>
        <v>684.28799999999956</v>
      </c>
      <c r="X723">
        <f t="shared" si="81"/>
        <v>9</v>
      </c>
      <c r="Y723" cm="1">
        <f t="array" ref="Y723">_xlfn.IFS(H723=0.1,1,H723=0.15,1,H723=0.05,1,H723=0,0)</f>
        <v>1</v>
      </c>
      <c r="Z723">
        <f t="shared" si="82"/>
        <v>16</v>
      </c>
      <c r="AA723">
        <f t="shared" si="83"/>
        <v>2024</v>
      </c>
    </row>
    <row r="724" spans="1:27" x14ac:dyDescent="0.3">
      <c r="A724" s="2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68</v>
      </c>
      <c r="J724">
        <v>3803.3550000000009</v>
      </c>
      <c r="K724" t="s">
        <v>58</v>
      </c>
      <c r="L724" t="s">
        <v>41</v>
      </c>
      <c r="M724">
        <v>0</v>
      </c>
      <c r="N724" t="s">
        <v>1472</v>
      </c>
      <c r="O724" t="s">
        <v>1473</v>
      </c>
      <c r="P724">
        <v>36.869999999999997</v>
      </c>
      <c r="Q724" s="2">
        <v>45783</v>
      </c>
      <c r="R724" s="2">
        <v>45787</v>
      </c>
      <c r="S724" t="s">
        <v>44</v>
      </c>
      <c r="T724">
        <f t="shared" si="77"/>
        <v>3840.2250000000008</v>
      </c>
      <c r="U724">
        <f t="shared" si="78"/>
        <v>10</v>
      </c>
      <c r="V724">
        <f t="shared" si="79"/>
        <v>4225.9500000000007</v>
      </c>
      <c r="W724">
        <f t="shared" si="80"/>
        <v>422.5949999999998</v>
      </c>
      <c r="X724">
        <f t="shared" si="81"/>
        <v>4</v>
      </c>
      <c r="Y724" cm="1">
        <f t="array" ref="Y724">_xlfn.IFS(H724=0.1,1,H724=0.15,1,H724=0.05,1,H724=0,0)</f>
        <v>1</v>
      </c>
      <c r="Z724">
        <f t="shared" si="82"/>
        <v>15</v>
      </c>
      <c r="AA724">
        <f t="shared" si="83"/>
        <v>2025</v>
      </c>
    </row>
    <row r="725" spans="1:27" x14ac:dyDescent="0.3">
      <c r="A725" s="2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65</v>
      </c>
      <c r="L725" t="s">
        <v>25</v>
      </c>
      <c r="M725">
        <v>0</v>
      </c>
      <c r="N725" t="s">
        <v>1474</v>
      </c>
      <c r="O725" t="s">
        <v>1475</v>
      </c>
      <c r="P725">
        <v>29.31</v>
      </c>
      <c r="Q725" s="2">
        <v>44941</v>
      </c>
      <c r="R725" s="2">
        <v>44943</v>
      </c>
      <c r="S725" t="s">
        <v>44</v>
      </c>
      <c r="T725">
        <f t="shared" si="77"/>
        <v>2804.31</v>
      </c>
      <c r="U725">
        <f t="shared" si="78"/>
        <v>0</v>
      </c>
      <c r="V725">
        <f t="shared" si="79"/>
        <v>2775</v>
      </c>
      <c r="W725">
        <f t="shared" si="80"/>
        <v>0</v>
      </c>
      <c r="X725">
        <f t="shared" si="81"/>
        <v>2</v>
      </c>
      <c r="Y725" cm="1">
        <f t="array" ref="Y725">_xlfn.IFS(H725=0.1,1,H725=0.15,1,H725=0.05,1,H725=0,0)</f>
        <v>0</v>
      </c>
      <c r="Z725">
        <f t="shared" si="82"/>
        <v>0</v>
      </c>
      <c r="AA725">
        <f t="shared" si="83"/>
        <v>2023</v>
      </c>
    </row>
    <row r="726" spans="1:27" x14ac:dyDescent="0.3">
      <c r="A726" s="2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1476</v>
      </c>
      <c r="O726" t="s">
        <v>1477</v>
      </c>
      <c r="P726">
        <v>48.73</v>
      </c>
      <c r="Q726" s="2">
        <v>45300</v>
      </c>
      <c r="R726" s="2">
        <v>45303</v>
      </c>
      <c r="S726" t="s">
        <v>50</v>
      </c>
      <c r="T726">
        <f t="shared" si="77"/>
        <v>6560.7519999999995</v>
      </c>
      <c r="U726">
        <f t="shared" si="78"/>
        <v>10</v>
      </c>
      <c r="V726">
        <f t="shared" si="79"/>
        <v>7235.58</v>
      </c>
      <c r="W726">
        <f t="shared" si="80"/>
        <v>723.55799999999999</v>
      </c>
      <c r="X726">
        <f t="shared" si="81"/>
        <v>3</v>
      </c>
      <c r="Y726" cm="1">
        <f t="array" ref="Y726">_xlfn.IFS(H726=0.1,1,H726=0.15,1,H726=0.05,1,H726=0,0)</f>
        <v>1</v>
      </c>
      <c r="Z726">
        <f t="shared" si="82"/>
        <v>19</v>
      </c>
      <c r="AA726">
        <f t="shared" si="83"/>
        <v>2024</v>
      </c>
    </row>
    <row r="727" spans="1:27" x14ac:dyDescent="0.3">
      <c r="A727" s="2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1478</v>
      </c>
      <c r="O727" t="s">
        <v>1479</v>
      </c>
      <c r="P727">
        <v>47.14</v>
      </c>
      <c r="Q727" s="2">
        <v>45119</v>
      </c>
      <c r="R727" s="2">
        <v>45128</v>
      </c>
      <c r="S727" t="s">
        <v>38</v>
      </c>
      <c r="T727">
        <f t="shared" si="77"/>
        <v>1559.6980000000001</v>
      </c>
      <c r="U727">
        <f t="shared" si="78"/>
        <v>15</v>
      </c>
      <c r="V727">
        <f t="shared" si="79"/>
        <v>1779.48</v>
      </c>
      <c r="W727">
        <f t="shared" si="80"/>
        <v>266.92200000000003</v>
      </c>
      <c r="X727">
        <f t="shared" si="81"/>
        <v>9</v>
      </c>
      <c r="Y727" cm="1">
        <f t="array" ref="Y727">_xlfn.IFS(H727=0.1,1,H727=0.15,1,H727=0.05,1,H727=0,0)</f>
        <v>1</v>
      </c>
      <c r="Z727">
        <f t="shared" si="82"/>
        <v>4</v>
      </c>
      <c r="AA727">
        <f t="shared" si="83"/>
        <v>2023</v>
      </c>
    </row>
    <row r="728" spans="1:27" x14ac:dyDescent="0.3">
      <c r="A728" s="2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3928.7534999999989</v>
      </c>
      <c r="K728" t="s">
        <v>65</v>
      </c>
      <c r="L728" t="s">
        <v>25</v>
      </c>
      <c r="M728">
        <v>1</v>
      </c>
      <c r="N728" t="s">
        <v>1480</v>
      </c>
      <c r="O728" t="s">
        <v>1481</v>
      </c>
      <c r="P728">
        <v>41.39</v>
      </c>
      <c r="Q728" s="2">
        <v>45829</v>
      </c>
      <c r="R728" s="2">
        <v>45834</v>
      </c>
      <c r="S728" t="s">
        <v>28</v>
      </c>
      <c r="T728">
        <f t="shared" si="77"/>
        <v>3971.1434999999988</v>
      </c>
      <c r="U728">
        <f t="shared" si="78"/>
        <v>5</v>
      </c>
      <c r="V728">
        <f t="shared" si="79"/>
        <v>4135.53</v>
      </c>
      <c r="W728">
        <f t="shared" si="80"/>
        <v>206.77650000000085</v>
      </c>
      <c r="X728">
        <f t="shared" si="81"/>
        <v>5</v>
      </c>
      <c r="Y728" cm="1">
        <f t="array" ref="Y728">_xlfn.IFS(H728=0.1,1,H728=0.15,1,H728=0.05,1,H728=0,0)</f>
        <v>1</v>
      </c>
      <c r="Z728">
        <f t="shared" si="82"/>
        <v>7</v>
      </c>
      <c r="AA728">
        <f t="shared" si="83"/>
        <v>2025</v>
      </c>
    </row>
    <row r="729" spans="1:27" x14ac:dyDescent="0.3">
      <c r="A729" s="2">
        <v>45655</v>
      </c>
      <c r="B729" t="s">
        <v>39</v>
      </c>
      <c r="C729" t="s">
        <v>132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1482</v>
      </c>
      <c r="O729" t="s">
        <v>1483</v>
      </c>
      <c r="P729">
        <v>27.1</v>
      </c>
      <c r="Q729" s="2">
        <v>45655</v>
      </c>
      <c r="R729" s="2">
        <v>45659</v>
      </c>
      <c r="S729" t="s">
        <v>44</v>
      </c>
      <c r="T729">
        <f t="shared" si="77"/>
        <v>182.71</v>
      </c>
      <c r="U729">
        <f t="shared" si="78"/>
        <v>10</v>
      </c>
      <c r="V729">
        <f t="shared" si="79"/>
        <v>172.89999999999998</v>
      </c>
      <c r="W729">
        <f t="shared" si="80"/>
        <v>17.289999999999964</v>
      </c>
      <c r="X729">
        <f t="shared" si="81"/>
        <v>4</v>
      </c>
      <c r="Y729" cm="1">
        <f t="array" ref="Y729">_xlfn.IFS(H729=0.1,1,H729=0.15,1,H729=0.05,1,H729=0,0)</f>
        <v>1</v>
      </c>
      <c r="Z729">
        <f t="shared" si="82"/>
        <v>5</v>
      </c>
      <c r="AA729">
        <f t="shared" si="83"/>
        <v>2024</v>
      </c>
    </row>
    <row r="730" spans="1:27" x14ac:dyDescent="0.3">
      <c r="A730" s="2">
        <v>45069</v>
      </c>
      <c r="B730" t="s">
        <v>71</v>
      </c>
      <c r="C730" t="s">
        <v>81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68</v>
      </c>
      <c r="J730">
        <v>3746.7809999999999</v>
      </c>
      <c r="K730" t="s">
        <v>65</v>
      </c>
      <c r="L730" t="s">
        <v>59</v>
      </c>
      <c r="M730">
        <v>0</v>
      </c>
      <c r="N730" t="s">
        <v>1484</v>
      </c>
      <c r="O730" t="s">
        <v>1485</v>
      </c>
      <c r="P730">
        <v>22.73</v>
      </c>
      <c r="Q730" s="2">
        <v>45069</v>
      </c>
      <c r="R730" s="2">
        <v>45075</v>
      </c>
      <c r="S730" t="s">
        <v>74</v>
      </c>
      <c r="T730">
        <f t="shared" si="77"/>
        <v>3769.511</v>
      </c>
      <c r="U730">
        <f t="shared" si="78"/>
        <v>5</v>
      </c>
      <c r="V730">
        <f t="shared" si="79"/>
        <v>3943.9800000000005</v>
      </c>
      <c r="W730">
        <f t="shared" si="80"/>
        <v>197.19900000000052</v>
      </c>
      <c r="X730">
        <f t="shared" si="81"/>
        <v>6</v>
      </c>
      <c r="Y730" cm="1">
        <f t="array" ref="Y730">_xlfn.IFS(H730=0.1,1,H730=0.15,1,H730=0.05,1,H730=0,0)</f>
        <v>1</v>
      </c>
      <c r="Z730">
        <f t="shared" si="82"/>
        <v>9</v>
      </c>
      <c r="AA730">
        <f t="shared" si="83"/>
        <v>2023</v>
      </c>
    </row>
    <row r="731" spans="1:27" x14ac:dyDescent="0.3">
      <c r="A731" s="2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65</v>
      </c>
      <c r="L731" t="s">
        <v>25</v>
      </c>
      <c r="M731">
        <v>1</v>
      </c>
      <c r="N731" t="s">
        <v>1486</v>
      </c>
      <c r="O731" t="s">
        <v>1487</v>
      </c>
      <c r="P731">
        <v>29.06</v>
      </c>
      <c r="Q731" s="2">
        <v>45385</v>
      </c>
      <c r="R731" s="2">
        <v>45391</v>
      </c>
      <c r="S731" t="s">
        <v>50</v>
      </c>
      <c r="T731">
        <f t="shared" si="77"/>
        <v>412.15500000000003</v>
      </c>
      <c r="U731">
        <f t="shared" si="78"/>
        <v>10</v>
      </c>
      <c r="V731">
        <f t="shared" si="79"/>
        <v>424.54999999999995</v>
      </c>
      <c r="W731">
        <f t="shared" si="80"/>
        <v>42.454999999999927</v>
      </c>
      <c r="X731">
        <f t="shared" si="81"/>
        <v>6</v>
      </c>
      <c r="Y731" cm="1">
        <f t="array" ref="Y731">_xlfn.IFS(H731=0.1,1,H731=0.15,1,H731=0.05,1,H731=0,0)</f>
        <v>1</v>
      </c>
      <c r="Z731">
        <f t="shared" si="82"/>
        <v>5</v>
      </c>
      <c r="AA731">
        <f t="shared" si="83"/>
        <v>2024</v>
      </c>
    </row>
    <row r="732" spans="1:27" x14ac:dyDescent="0.3">
      <c r="A732" s="2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62</v>
      </c>
      <c r="L732" t="s">
        <v>35</v>
      </c>
      <c r="M732">
        <v>0</v>
      </c>
      <c r="N732" t="s">
        <v>1488</v>
      </c>
      <c r="O732" t="s">
        <v>1489</v>
      </c>
      <c r="P732">
        <v>19.91</v>
      </c>
      <c r="Q732" s="2">
        <v>45308</v>
      </c>
      <c r="R732" s="2">
        <v>45318</v>
      </c>
      <c r="S732" t="s">
        <v>28</v>
      </c>
      <c r="T732">
        <f t="shared" si="77"/>
        <v>2049.203</v>
      </c>
      <c r="U732">
        <f t="shared" si="78"/>
        <v>10</v>
      </c>
      <c r="V732">
        <f t="shared" si="79"/>
        <v>2254.77</v>
      </c>
      <c r="W732">
        <f t="shared" si="80"/>
        <v>225.47700000000009</v>
      </c>
      <c r="X732">
        <f t="shared" si="81"/>
        <v>10</v>
      </c>
      <c r="Y732" cm="1">
        <f t="array" ref="Y732">_xlfn.IFS(H732=0.1,1,H732=0.15,1,H732=0.05,1,H732=0,0)</f>
        <v>1</v>
      </c>
      <c r="Z732">
        <f t="shared" si="82"/>
        <v>7</v>
      </c>
      <c r="AA732">
        <f t="shared" si="83"/>
        <v>2024</v>
      </c>
    </row>
    <row r="733" spans="1:27" x14ac:dyDescent="0.3">
      <c r="A733" s="2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62</v>
      </c>
      <c r="L733" t="s">
        <v>59</v>
      </c>
      <c r="M733">
        <v>1</v>
      </c>
      <c r="N733" t="s">
        <v>1490</v>
      </c>
      <c r="O733" t="s">
        <v>1491</v>
      </c>
      <c r="P733">
        <v>32.659999999999997</v>
      </c>
      <c r="Q733" s="2">
        <v>45752</v>
      </c>
      <c r="R733" s="2">
        <v>45761</v>
      </c>
      <c r="S733" t="s">
        <v>50</v>
      </c>
      <c r="T733">
        <f t="shared" si="77"/>
        <v>451.18799999999999</v>
      </c>
      <c r="U733">
        <f t="shared" si="78"/>
        <v>10</v>
      </c>
      <c r="V733">
        <f t="shared" si="79"/>
        <v>463.92</v>
      </c>
      <c r="W733">
        <f t="shared" si="80"/>
        <v>46.391999999999996</v>
      </c>
      <c r="X733">
        <f t="shared" si="81"/>
        <v>9</v>
      </c>
      <c r="Y733" cm="1">
        <f t="array" ref="Y733">_xlfn.IFS(H733=0.1,1,H733=0.15,1,H733=0.05,1,H733=0,0)</f>
        <v>1</v>
      </c>
      <c r="Z733">
        <f t="shared" si="82"/>
        <v>2</v>
      </c>
      <c r="AA733">
        <f t="shared" si="83"/>
        <v>2025</v>
      </c>
    </row>
    <row r="734" spans="1:27" x14ac:dyDescent="0.3">
      <c r="A734" s="2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68</v>
      </c>
      <c r="J734">
        <v>3086.392499999999</v>
      </c>
      <c r="K734" t="s">
        <v>58</v>
      </c>
      <c r="L734" t="s">
        <v>59</v>
      </c>
      <c r="M734">
        <v>0</v>
      </c>
      <c r="N734" t="s">
        <v>1492</v>
      </c>
      <c r="O734" t="s">
        <v>1493</v>
      </c>
      <c r="P734">
        <v>19.18</v>
      </c>
      <c r="Q734" s="2">
        <v>45764</v>
      </c>
      <c r="R734" s="2">
        <v>45770</v>
      </c>
      <c r="S734" t="s">
        <v>50</v>
      </c>
      <c r="T734">
        <f t="shared" si="77"/>
        <v>3105.5724999999989</v>
      </c>
      <c r="U734">
        <f t="shared" si="78"/>
        <v>15</v>
      </c>
      <c r="V734">
        <f t="shared" si="79"/>
        <v>3631.0499999999997</v>
      </c>
      <c r="W734">
        <f t="shared" si="80"/>
        <v>544.65750000000071</v>
      </c>
      <c r="X734">
        <f t="shared" si="81"/>
        <v>6</v>
      </c>
      <c r="Y734" cm="1">
        <f t="array" ref="Y734">_xlfn.IFS(H734=0.1,1,H734=0.15,1,H734=0.05,1,H734=0,0)</f>
        <v>1</v>
      </c>
      <c r="Z734">
        <f t="shared" si="82"/>
        <v>15</v>
      </c>
      <c r="AA734">
        <f t="shared" si="83"/>
        <v>2025</v>
      </c>
    </row>
    <row r="735" spans="1:27" x14ac:dyDescent="0.3">
      <c r="A735" s="2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62</v>
      </c>
      <c r="L735" t="s">
        <v>25</v>
      </c>
      <c r="M735">
        <v>1</v>
      </c>
      <c r="N735" t="s">
        <v>1494</v>
      </c>
      <c r="O735" t="s">
        <v>1495</v>
      </c>
      <c r="P735">
        <v>25.81</v>
      </c>
      <c r="Q735" s="2">
        <v>45577</v>
      </c>
      <c r="R735" s="2">
        <v>45580</v>
      </c>
      <c r="S735" t="s">
        <v>50</v>
      </c>
      <c r="T735">
        <f t="shared" si="77"/>
        <v>118.048</v>
      </c>
      <c r="U735">
        <f t="shared" si="78"/>
        <v>5</v>
      </c>
      <c r="V735">
        <f t="shared" si="79"/>
        <v>96.04</v>
      </c>
      <c r="W735">
        <f t="shared" si="80"/>
        <v>4.8020000000000067</v>
      </c>
      <c r="X735">
        <f t="shared" si="81"/>
        <v>3</v>
      </c>
      <c r="Y735" cm="1">
        <f t="array" ref="Y735">_xlfn.IFS(H735=0.1,1,H735=0.15,1,H735=0.05,1,H735=0,0)</f>
        <v>1</v>
      </c>
      <c r="Z735">
        <f t="shared" si="82"/>
        <v>2</v>
      </c>
      <c r="AA735">
        <f t="shared" si="83"/>
        <v>2024</v>
      </c>
    </row>
    <row r="736" spans="1:27" x14ac:dyDescent="0.3">
      <c r="A736" s="2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1496</v>
      </c>
      <c r="O736" t="s">
        <v>1497</v>
      </c>
      <c r="P736">
        <v>31.3</v>
      </c>
      <c r="Q736" s="2">
        <v>45500</v>
      </c>
      <c r="R736" s="2">
        <v>45505</v>
      </c>
      <c r="S736" t="s">
        <v>50</v>
      </c>
      <c r="T736">
        <f t="shared" si="77"/>
        <v>512.15199999999993</v>
      </c>
      <c r="U736">
        <f t="shared" si="78"/>
        <v>10</v>
      </c>
      <c r="V736">
        <f t="shared" si="79"/>
        <v>534.28</v>
      </c>
      <c r="W736">
        <f t="shared" si="80"/>
        <v>53.427999999999997</v>
      </c>
      <c r="X736">
        <f t="shared" si="81"/>
        <v>5</v>
      </c>
      <c r="Y736" cm="1">
        <f t="array" ref="Y736">_xlfn.IFS(H736=0.1,1,H736=0.15,1,H736=0.05,1,H736=0,0)</f>
        <v>1</v>
      </c>
      <c r="Z736">
        <f t="shared" si="82"/>
        <v>1</v>
      </c>
      <c r="AA736">
        <f t="shared" si="83"/>
        <v>2024</v>
      </c>
    </row>
    <row r="737" spans="1:27" x14ac:dyDescent="0.3">
      <c r="A737" s="2">
        <v>45667</v>
      </c>
      <c r="B737" t="s">
        <v>71</v>
      </c>
      <c r="C737" t="s">
        <v>81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62</v>
      </c>
      <c r="L737" t="s">
        <v>35</v>
      </c>
      <c r="M737">
        <v>0</v>
      </c>
      <c r="N737" t="s">
        <v>1498</v>
      </c>
      <c r="O737" t="s">
        <v>1499</v>
      </c>
      <c r="P737">
        <v>46.37</v>
      </c>
      <c r="Q737" s="2">
        <v>45667</v>
      </c>
      <c r="R737" s="2">
        <v>45675</v>
      </c>
      <c r="S737" t="s">
        <v>74</v>
      </c>
      <c r="T737">
        <f t="shared" si="77"/>
        <v>296.65249999999997</v>
      </c>
      <c r="U737">
        <f t="shared" si="78"/>
        <v>15</v>
      </c>
      <c r="V737">
        <f t="shared" si="79"/>
        <v>294.45000000000005</v>
      </c>
      <c r="W737">
        <f t="shared" si="80"/>
        <v>44.167500000000047</v>
      </c>
      <c r="X737">
        <f t="shared" si="81"/>
        <v>8</v>
      </c>
      <c r="Y737" cm="1">
        <f t="array" ref="Y737">_xlfn.IFS(H737=0.1,1,H737=0.15,1,H737=0.05,1,H737=0,0)</f>
        <v>1</v>
      </c>
      <c r="Z737">
        <f t="shared" si="82"/>
        <v>3</v>
      </c>
      <c r="AA737">
        <f t="shared" si="83"/>
        <v>2025</v>
      </c>
    </row>
    <row r="738" spans="1:27" x14ac:dyDescent="0.3">
      <c r="A738" s="2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L738" t="s">
        <v>59</v>
      </c>
      <c r="M738">
        <v>1</v>
      </c>
      <c r="N738" t="s">
        <v>1500</v>
      </c>
      <c r="O738" t="s">
        <v>1501</v>
      </c>
      <c r="P738">
        <v>24.34</v>
      </c>
      <c r="Q738" s="2">
        <v>45498</v>
      </c>
      <c r="R738" s="2">
        <v>45504</v>
      </c>
      <c r="S738" t="s">
        <v>38</v>
      </c>
      <c r="T738">
        <f t="shared" si="77"/>
        <v>730.43000000000006</v>
      </c>
      <c r="U738">
        <f t="shared" si="78"/>
        <v>5</v>
      </c>
      <c r="V738">
        <f t="shared" si="79"/>
        <v>742.2</v>
      </c>
      <c r="W738">
        <f t="shared" si="80"/>
        <v>37.110000000000014</v>
      </c>
      <c r="X738">
        <f t="shared" si="81"/>
        <v>6</v>
      </c>
      <c r="Y738" cm="1">
        <f t="array" ref="Y738">_xlfn.IFS(H738=0.1,1,H738=0.15,1,H738=0.05,1,H738=0,0)</f>
        <v>1</v>
      </c>
      <c r="Z738">
        <f t="shared" si="82"/>
        <v>12</v>
      </c>
      <c r="AA738">
        <f t="shared" si="83"/>
        <v>2024</v>
      </c>
    </row>
    <row r="739" spans="1:27" x14ac:dyDescent="0.3">
      <c r="A739" s="2">
        <v>45434</v>
      </c>
      <c r="B739" t="s">
        <v>71</v>
      </c>
      <c r="C739" t="s">
        <v>81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62</v>
      </c>
      <c r="L739" t="s">
        <v>41</v>
      </c>
      <c r="M739">
        <v>1</v>
      </c>
      <c r="N739" t="s">
        <v>1502</v>
      </c>
      <c r="O739" t="s">
        <v>1503</v>
      </c>
      <c r="P739">
        <v>35.69</v>
      </c>
      <c r="Q739" s="2">
        <v>45434</v>
      </c>
      <c r="R739" s="2">
        <v>45437</v>
      </c>
      <c r="S739" t="s">
        <v>74</v>
      </c>
      <c r="T739">
        <f t="shared" si="77"/>
        <v>1485.7260000000001</v>
      </c>
      <c r="U739">
        <f t="shared" si="78"/>
        <v>10</v>
      </c>
      <c r="V739">
        <f t="shared" si="79"/>
        <v>1610.04</v>
      </c>
      <c r="W739">
        <f t="shared" si="80"/>
        <v>161.00399999999991</v>
      </c>
      <c r="X739">
        <f t="shared" si="81"/>
        <v>3</v>
      </c>
      <c r="Y739" cm="1">
        <f t="array" ref="Y739">_xlfn.IFS(H739=0.1,1,H739=0.15,1,H739=0.05,1,H739=0,0)</f>
        <v>1</v>
      </c>
      <c r="Z739">
        <f t="shared" si="82"/>
        <v>6</v>
      </c>
      <c r="AA739">
        <f t="shared" si="83"/>
        <v>2024</v>
      </c>
    </row>
    <row r="740" spans="1:27" x14ac:dyDescent="0.3">
      <c r="A740" s="2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1504</v>
      </c>
      <c r="O740" t="s">
        <v>1505</v>
      </c>
      <c r="P740">
        <v>25.96</v>
      </c>
      <c r="Q740" s="2">
        <v>45514</v>
      </c>
      <c r="R740" s="2">
        <v>45524</v>
      </c>
      <c r="S740" t="s">
        <v>50</v>
      </c>
      <c r="T740">
        <f t="shared" si="77"/>
        <v>2036.2740000000001</v>
      </c>
      <c r="U740">
        <f t="shared" si="78"/>
        <v>5</v>
      </c>
      <c r="V740">
        <f t="shared" si="79"/>
        <v>2116.12</v>
      </c>
      <c r="W740">
        <f t="shared" si="80"/>
        <v>105.80599999999981</v>
      </c>
      <c r="X740">
        <f t="shared" si="81"/>
        <v>10</v>
      </c>
      <c r="Y740" cm="1">
        <f t="array" ref="Y740">_xlfn.IFS(H740=0.1,1,H740=0.15,1,H740=0.05,1,H740=0,0)</f>
        <v>1</v>
      </c>
      <c r="Z740">
        <f t="shared" si="82"/>
        <v>4</v>
      </c>
      <c r="AA740">
        <f t="shared" si="83"/>
        <v>2024</v>
      </c>
    </row>
    <row r="741" spans="1:27" x14ac:dyDescent="0.3">
      <c r="A741" s="2">
        <v>45043</v>
      </c>
      <c r="B741" t="s">
        <v>71</v>
      </c>
      <c r="C741" t="s">
        <v>81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L741" t="s">
        <v>59</v>
      </c>
      <c r="M741">
        <v>0</v>
      </c>
      <c r="N741" t="s">
        <v>1506</v>
      </c>
      <c r="O741" t="s">
        <v>1507</v>
      </c>
      <c r="P741">
        <v>47.33</v>
      </c>
      <c r="Q741" s="2">
        <v>45043</v>
      </c>
      <c r="R741" s="2">
        <v>45045</v>
      </c>
      <c r="S741" t="s">
        <v>74</v>
      </c>
      <c r="T741">
        <f t="shared" si="77"/>
        <v>251.238</v>
      </c>
      <c r="U741">
        <f t="shared" si="78"/>
        <v>5</v>
      </c>
      <c r="V741">
        <f t="shared" si="79"/>
        <v>214.64</v>
      </c>
      <c r="W741">
        <f t="shared" si="80"/>
        <v>10.731999999999999</v>
      </c>
      <c r="X741">
        <f t="shared" si="81"/>
        <v>2</v>
      </c>
      <c r="Y741" cm="1">
        <f t="array" ref="Y741">_xlfn.IFS(H741=0.1,1,H741=0.15,1,H741=0.05,1,H741=0,0)</f>
        <v>1</v>
      </c>
      <c r="Z741">
        <f t="shared" si="82"/>
        <v>2</v>
      </c>
      <c r="AA741">
        <f t="shared" si="83"/>
        <v>2023</v>
      </c>
    </row>
    <row r="742" spans="1:27" x14ac:dyDescent="0.3">
      <c r="A742" s="2">
        <v>45098</v>
      </c>
      <c r="B742" t="s">
        <v>29</v>
      </c>
      <c r="C742" t="s">
        <v>81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1508</v>
      </c>
      <c r="O742" t="s">
        <v>745</v>
      </c>
      <c r="P742">
        <v>42.1</v>
      </c>
      <c r="Q742" s="2">
        <v>45098</v>
      </c>
      <c r="R742" s="2">
        <v>45102</v>
      </c>
      <c r="S742" t="s">
        <v>38</v>
      </c>
      <c r="T742">
        <f t="shared" si="77"/>
        <v>518.01199999999994</v>
      </c>
      <c r="U742">
        <f t="shared" si="78"/>
        <v>5</v>
      </c>
      <c r="V742">
        <f t="shared" si="79"/>
        <v>500.96</v>
      </c>
      <c r="W742">
        <f t="shared" si="80"/>
        <v>25.048000000000002</v>
      </c>
      <c r="X742">
        <f t="shared" si="81"/>
        <v>4</v>
      </c>
      <c r="Y742" cm="1">
        <f t="array" ref="Y742">_xlfn.IFS(H742=0.1,1,H742=0.15,1,H742=0.05,1,H742=0,0)</f>
        <v>1</v>
      </c>
      <c r="Z742">
        <f t="shared" si="82"/>
        <v>1</v>
      </c>
      <c r="AA742">
        <f t="shared" si="83"/>
        <v>2023</v>
      </c>
    </row>
    <row r="743" spans="1:27" x14ac:dyDescent="0.3">
      <c r="A743" s="2">
        <v>45576</v>
      </c>
      <c r="B743" t="s">
        <v>71</v>
      </c>
      <c r="C743" t="s">
        <v>132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L743" t="s">
        <v>59</v>
      </c>
      <c r="M743">
        <v>1</v>
      </c>
      <c r="N743" t="s">
        <v>1509</v>
      </c>
      <c r="O743" t="s">
        <v>1510</v>
      </c>
      <c r="P743">
        <v>44.42</v>
      </c>
      <c r="Q743" s="2">
        <v>45576</v>
      </c>
      <c r="R743" s="2">
        <v>45579</v>
      </c>
      <c r="S743" t="s">
        <v>74</v>
      </c>
      <c r="T743">
        <f t="shared" si="77"/>
        <v>8924.3670000000002</v>
      </c>
      <c r="U743">
        <f t="shared" si="78"/>
        <v>5</v>
      </c>
      <c r="V743">
        <f t="shared" si="79"/>
        <v>9346.26</v>
      </c>
      <c r="W743">
        <f t="shared" si="80"/>
        <v>467.3130000000001</v>
      </c>
      <c r="X743">
        <f t="shared" si="81"/>
        <v>3</v>
      </c>
      <c r="Y743" cm="1">
        <f t="array" ref="Y743">_xlfn.IFS(H743=0.1,1,H743=0.15,1,H743=0.05,1,H743=0,0)</f>
        <v>1</v>
      </c>
      <c r="Z743">
        <f t="shared" si="82"/>
        <v>17</v>
      </c>
      <c r="AA743">
        <f t="shared" si="83"/>
        <v>2024</v>
      </c>
    </row>
    <row r="744" spans="1:27" x14ac:dyDescent="0.3">
      <c r="A744" s="2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65</v>
      </c>
      <c r="L744" t="s">
        <v>41</v>
      </c>
      <c r="M744">
        <v>0</v>
      </c>
      <c r="N744" t="s">
        <v>1511</v>
      </c>
      <c r="O744" t="s">
        <v>1512</v>
      </c>
      <c r="P744">
        <v>23.57</v>
      </c>
      <c r="Q744" s="2">
        <v>45683</v>
      </c>
      <c r="R744" s="2">
        <v>45687</v>
      </c>
      <c r="S744" t="s">
        <v>44</v>
      </c>
      <c r="T744">
        <f t="shared" si="77"/>
        <v>190.3235</v>
      </c>
      <c r="U744">
        <f t="shared" si="78"/>
        <v>5</v>
      </c>
      <c r="V744">
        <f t="shared" si="79"/>
        <v>175.53</v>
      </c>
      <c r="W744">
        <f t="shared" si="80"/>
        <v>8.7764999999999986</v>
      </c>
      <c r="X744">
        <f t="shared" si="81"/>
        <v>4</v>
      </c>
      <c r="Y744" cm="1">
        <f t="array" ref="Y744">_xlfn.IFS(H744=0.1,1,H744=0.15,1,H744=0.05,1,H744=0,0)</f>
        <v>1</v>
      </c>
      <c r="Z744">
        <f t="shared" si="82"/>
        <v>3</v>
      </c>
      <c r="AA744">
        <f t="shared" si="83"/>
        <v>2025</v>
      </c>
    </row>
    <row r="745" spans="1:27" x14ac:dyDescent="0.3">
      <c r="A745" s="2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7712.4240000000009</v>
      </c>
      <c r="K745" t="s">
        <v>24</v>
      </c>
      <c r="L745" t="s">
        <v>35</v>
      </c>
      <c r="M745">
        <v>0</v>
      </c>
      <c r="N745" t="s">
        <v>1513</v>
      </c>
      <c r="O745" t="s">
        <v>1514</v>
      </c>
      <c r="P745">
        <v>26.47</v>
      </c>
      <c r="Q745" s="2">
        <v>45461</v>
      </c>
      <c r="R745" s="2">
        <v>45469</v>
      </c>
      <c r="S745" t="s">
        <v>38</v>
      </c>
      <c r="T745">
        <f t="shared" si="77"/>
        <v>7738.8940000000011</v>
      </c>
      <c r="U745">
        <f t="shared" si="78"/>
        <v>10</v>
      </c>
      <c r="V745">
        <f t="shared" si="79"/>
        <v>8569.36</v>
      </c>
      <c r="W745">
        <f t="shared" si="80"/>
        <v>856.93599999999969</v>
      </c>
      <c r="X745">
        <f t="shared" si="81"/>
        <v>8</v>
      </c>
      <c r="Y745" cm="1">
        <f t="array" ref="Y745">_xlfn.IFS(H745=0.1,1,H745=0.15,1,H745=0.05,1,H745=0,0)</f>
        <v>1</v>
      </c>
      <c r="Z745">
        <f t="shared" si="82"/>
        <v>17</v>
      </c>
      <c r="AA745">
        <f t="shared" si="83"/>
        <v>2024</v>
      </c>
    </row>
    <row r="746" spans="1:27" x14ac:dyDescent="0.3">
      <c r="A746" s="2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65</v>
      </c>
      <c r="L746" t="s">
        <v>35</v>
      </c>
      <c r="M746">
        <v>0</v>
      </c>
      <c r="N746" t="s">
        <v>1515</v>
      </c>
      <c r="O746" t="s">
        <v>1516</v>
      </c>
      <c r="P746">
        <v>17.399999999999999</v>
      </c>
      <c r="Q746" s="2">
        <v>45826</v>
      </c>
      <c r="R746" s="2">
        <v>45832</v>
      </c>
      <c r="S746" t="s">
        <v>28</v>
      </c>
      <c r="T746">
        <f t="shared" si="77"/>
        <v>7151.11</v>
      </c>
      <c r="U746">
        <f t="shared" si="78"/>
        <v>0</v>
      </c>
      <c r="V746">
        <f t="shared" si="79"/>
        <v>7133.71</v>
      </c>
      <c r="W746">
        <f t="shared" si="80"/>
        <v>0</v>
      </c>
      <c r="X746">
        <f t="shared" si="81"/>
        <v>6</v>
      </c>
      <c r="Y746" cm="1">
        <f t="array" ref="Y746">_xlfn.IFS(H746=0.1,1,H746=0.15,1,H746=0.05,1,H746=0,0)</f>
        <v>0</v>
      </c>
      <c r="Z746">
        <f t="shared" si="82"/>
        <v>0</v>
      </c>
      <c r="AA746">
        <f t="shared" si="83"/>
        <v>2025</v>
      </c>
    </row>
    <row r="747" spans="1:27" x14ac:dyDescent="0.3">
      <c r="A747" s="2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L747" t="s">
        <v>59</v>
      </c>
      <c r="M747">
        <v>0</v>
      </c>
      <c r="N747" t="s">
        <v>1517</v>
      </c>
      <c r="O747" t="s">
        <v>1518</v>
      </c>
      <c r="P747">
        <v>21.36</v>
      </c>
      <c r="Q747" s="2">
        <v>45594</v>
      </c>
      <c r="R747" s="2">
        <v>45603</v>
      </c>
      <c r="S747" t="s">
        <v>38</v>
      </c>
      <c r="T747">
        <f t="shared" si="77"/>
        <v>529.34399999999994</v>
      </c>
      <c r="U747">
        <f t="shared" si="78"/>
        <v>5</v>
      </c>
      <c r="V747">
        <f t="shared" si="79"/>
        <v>534.72</v>
      </c>
      <c r="W747">
        <f t="shared" si="80"/>
        <v>26.736000000000047</v>
      </c>
      <c r="X747">
        <f t="shared" si="81"/>
        <v>9</v>
      </c>
      <c r="Y747" cm="1">
        <f t="array" ref="Y747">_xlfn.IFS(H747=0.1,1,H747=0.15,1,H747=0.05,1,H747=0,0)</f>
        <v>1</v>
      </c>
      <c r="Z747">
        <f t="shared" si="82"/>
        <v>2</v>
      </c>
      <c r="AA747">
        <f t="shared" si="83"/>
        <v>2024</v>
      </c>
    </row>
    <row r="748" spans="1:27" x14ac:dyDescent="0.3">
      <c r="A748" s="2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62</v>
      </c>
      <c r="L748" t="s">
        <v>35</v>
      </c>
      <c r="M748">
        <v>1</v>
      </c>
      <c r="N748" t="s">
        <v>1519</v>
      </c>
      <c r="O748" t="s">
        <v>1520</v>
      </c>
      <c r="P748">
        <v>35.369999999999997</v>
      </c>
      <c r="Q748" s="2">
        <v>45755</v>
      </c>
      <c r="R748" s="2">
        <v>45761</v>
      </c>
      <c r="S748" t="s">
        <v>50</v>
      </c>
      <c r="T748">
        <f t="shared" si="77"/>
        <v>632.49</v>
      </c>
      <c r="U748">
        <f t="shared" si="78"/>
        <v>0</v>
      </c>
      <c r="V748">
        <f t="shared" si="79"/>
        <v>596.12</v>
      </c>
      <c r="W748">
        <f t="shared" si="80"/>
        <v>0</v>
      </c>
      <c r="X748">
        <f t="shared" si="81"/>
        <v>6</v>
      </c>
      <c r="Y748" cm="1">
        <f t="array" ref="Y748">_xlfn.IFS(H748=0.1,1,H748=0.15,1,H748=0.05,1,H748=0,0)</f>
        <v>0</v>
      </c>
      <c r="Z748">
        <f t="shared" si="82"/>
        <v>0</v>
      </c>
      <c r="AA748">
        <f t="shared" si="83"/>
        <v>2025</v>
      </c>
    </row>
    <row r="749" spans="1:27" x14ac:dyDescent="0.3">
      <c r="A749" s="2">
        <v>44957</v>
      </c>
      <c r="B749" t="s">
        <v>45</v>
      </c>
      <c r="C749" t="s">
        <v>81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62</v>
      </c>
      <c r="L749" t="s">
        <v>41</v>
      </c>
      <c r="M749">
        <v>0</v>
      </c>
      <c r="N749" t="s">
        <v>1521</v>
      </c>
      <c r="O749" t="s">
        <v>1522</v>
      </c>
      <c r="P749">
        <v>42.87</v>
      </c>
      <c r="Q749" s="2">
        <v>44957</v>
      </c>
      <c r="R749" s="2">
        <v>44962</v>
      </c>
      <c r="S749" t="s">
        <v>50</v>
      </c>
      <c r="T749">
        <f t="shared" si="77"/>
        <v>1685.0494999999999</v>
      </c>
      <c r="U749">
        <f t="shared" si="78"/>
        <v>5</v>
      </c>
      <c r="V749">
        <f t="shared" si="79"/>
        <v>1728.61</v>
      </c>
      <c r="W749">
        <f t="shared" si="80"/>
        <v>86.430499999999938</v>
      </c>
      <c r="X749">
        <f t="shared" si="81"/>
        <v>5</v>
      </c>
      <c r="Y749" cm="1">
        <f t="array" ref="Y749">_xlfn.IFS(H749=0.1,1,H749=0.15,1,H749=0.05,1,H749=0,0)</f>
        <v>1</v>
      </c>
      <c r="Z749">
        <f t="shared" si="82"/>
        <v>13</v>
      </c>
      <c r="AA749">
        <f t="shared" si="83"/>
        <v>2023</v>
      </c>
    </row>
    <row r="750" spans="1:27" x14ac:dyDescent="0.3">
      <c r="A750" s="2">
        <v>45366</v>
      </c>
      <c r="B750" t="s">
        <v>71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6001.1280000000006</v>
      </c>
      <c r="K750" t="s">
        <v>58</v>
      </c>
      <c r="L750" t="s">
        <v>25</v>
      </c>
      <c r="M750">
        <v>0</v>
      </c>
      <c r="N750" t="s">
        <v>1523</v>
      </c>
      <c r="O750" t="s">
        <v>1524</v>
      </c>
      <c r="P750">
        <v>22.11</v>
      </c>
      <c r="Q750" s="2">
        <v>45366</v>
      </c>
      <c r="R750" s="2">
        <v>45371</v>
      </c>
      <c r="S750" t="s">
        <v>74</v>
      </c>
      <c r="T750">
        <f t="shared" si="77"/>
        <v>6023.2380000000003</v>
      </c>
      <c r="U750">
        <f t="shared" si="78"/>
        <v>10</v>
      </c>
      <c r="V750">
        <f t="shared" si="79"/>
        <v>6667.92</v>
      </c>
      <c r="W750">
        <f t="shared" si="80"/>
        <v>666.79199999999946</v>
      </c>
      <c r="X750">
        <f t="shared" si="81"/>
        <v>5</v>
      </c>
      <c r="Y750" cm="1">
        <f t="array" ref="Y750">_xlfn.IFS(H750=0.1,1,H750=0.15,1,H750=0.05,1,H750=0,0)</f>
        <v>1</v>
      </c>
      <c r="Z750">
        <f t="shared" si="82"/>
        <v>14</v>
      </c>
      <c r="AA750">
        <f t="shared" si="83"/>
        <v>2024</v>
      </c>
    </row>
    <row r="751" spans="1:27" x14ac:dyDescent="0.3">
      <c r="A751" s="2">
        <v>45100</v>
      </c>
      <c r="B751" t="s">
        <v>39</v>
      </c>
      <c r="C751" t="s">
        <v>81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4482.1759999999986</v>
      </c>
      <c r="K751" t="s">
        <v>65</v>
      </c>
      <c r="L751" t="s">
        <v>59</v>
      </c>
      <c r="M751">
        <v>1</v>
      </c>
      <c r="N751" t="s">
        <v>1525</v>
      </c>
      <c r="O751" t="s">
        <v>1156</v>
      </c>
      <c r="P751">
        <v>17.190000000000001</v>
      </c>
      <c r="Q751" s="2">
        <v>45100</v>
      </c>
      <c r="R751" s="2">
        <v>45104</v>
      </c>
      <c r="S751" t="s">
        <v>44</v>
      </c>
      <c r="T751">
        <f t="shared" si="77"/>
        <v>4500.3659999999982</v>
      </c>
      <c r="U751">
        <f t="shared" si="78"/>
        <v>5</v>
      </c>
      <c r="V751">
        <f t="shared" si="79"/>
        <v>4718.08</v>
      </c>
      <c r="W751">
        <f t="shared" si="80"/>
        <v>235.90400000000136</v>
      </c>
      <c r="X751">
        <f t="shared" si="81"/>
        <v>4</v>
      </c>
      <c r="Y751" cm="1">
        <f t="array" ref="Y751">_xlfn.IFS(H751=0.1,1,H751=0.15,1,H751=0.05,1,H751=0,0)</f>
        <v>1</v>
      </c>
      <c r="Z751">
        <f t="shared" si="82"/>
        <v>16</v>
      </c>
      <c r="AA751">
        <f t="shared" si="83"/>
        <v>2023</v>
      </c>
    </row>
    <row r="752" spans="1:27" x14ac:dyDescent="0.3">
      <c r="A752" s="2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62</v>
      </c>
      <c r="L752" t="s">
        <v>59</v>
      </c>
      <c r="M752">
        <v>0</v>
      </c>
      <c r="N752" t="s">
        <v>1526</v>
      </c>
      <c r="O752" t="s">
        <v>1527</v>
      </c>
      <c r="P752">
        <v>31.95</v>
      </c>
      <c r="Q752" s="2">
        <v>45457</v>
      </c>
      <c r="R752" s="2">
        <v>45466</v>
      </c>
      <c r="S752" t="s">
        <v>44</v>
      </c>
      <c r="T752">
        <f t="shared" si="77"/>
        <v>9657.8345000000008</v>
      </c>
      <c r="U752">
        <f t="shared" si="78"/>
        <v>15</v>
      </c>
      <c r="V752">
        <f t="shared" si="79"/>
        <v>11324.57</v>
      </c>
      <c r="W752">
        <f t="shared" si="80"/>
        <v>1698.6854999999996</v>
      </c>
      <c r="X752">
        <f t="shared" si="81"/>
        <v>9</v>
      </c>
      <c r="Y752" cm="1">
        <f t="array" ref="Y752">_xlfn.IFS(H752=0.1,1,H752=0.15,1,H752=0.05,1,H752=0,0)</f>
        <v>1</v>
      </c>
      <c r="Z752">
        <f t="shared" si="82"/>
        <v>19</v>
      </c>
      <c r="AA752">
        <f t="shared" si="83"/>
        <v>2024</v>
      </c>
    </row>
    <row r="753" spans="1:27" x14ac:dyDescent="0.3">
      <c r="A753" s="2">
        <v>45260</v>
      </c>
      <c r="B753" t="s">
        <v>71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1528</v>
      </c>
      <c r="O753" t="s">
        <v>1529</v>
      </c>
      <c r="P753">
        <v>49.49</v>
      </c>
      <c r="Q753" s="2">
        <v>45260</v>
      </c>
      <c r="R753" s="2">
        <v>45269</v>
      </c>
      <c r="S753" t="s">
        <v>74</v>
      </c>
      <c r="T753">
        <f t="shared" si="77"/>
        <v>1144.8900000000001</v>
      </c>
      <c r="U753">
        <f t="shared" si="78"/>
        <v>0</v>
      </c>
      <c r="V753">
        <f t="shared" si="79"/>
        <v>1094.4000000000001</v>
      </c>
      <c r="W753">
        <f t="shared" si="80"/>
        <v>0</v>
      </c>
      <c r="X753">
        <f t="shared" si="81"/>
        <v>9</v>
      </c>
      <c r="Y753" cm="1">
        <f t="array" ref="Y753">_xlfn.IFS(H753=0.1,1,H753=0.15,1,H753=0.05,1,H753=0,0)</f>
        <v>0</v>
      </c>
      <c r="Z753">
        <f t="shared" si="82"/>
        <v>0</v>
      </c>
      <c r="AA753">
        <f t="shared" si="83"/>
        <v>2023</v>
      </c>
    </row>
    <row r="754" spans="1:27" x14ac:dyDescent="0.3">
      <c r="A754" s="2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L754" t="s">
        <v>59</v>
      </c>
      <c r="M754">
        <v>0</v>
      </c>
      <c r="N754" t="s">
        <v>1530</v>
      </c>
      <c r="O754" t="s">
        <v>1531</v>
      </c>
      <c r="P754">
        <v>17.46</v>
      </c>
      <c r="Q754" s="2">
        <v>45403</v>
      </c>
      <c r="R754" s="2">
        <v>45412</v>
      </c>
      <c r="S754" t="s">
        <v>44</v>
      </c>
      <c r="T754">
        <f t="shared" si="77"/>
        <v>3826.4850000000001</v>
      </c>
      <c r="U754">
        <f t="shared" si="78"/>
        <v>5</v>
      </c>
      <c r="V754">
        <f t="shared" si="79"/>
        <v>4009.5</v>
      </c>
      <c r="W754">
        <f t="shared" si="80"/>
        <v>200.47499999999991</v>
      </c>
      <c r="X754">
        <f t="shared" si="81"/>
        <v>9</v>
      </c>
      <c r="Y754" cm="1">
        <f t="array" ref="Y754">_xlfn.IFS(H754=0.1,1,H754=0.15,1,H754=0.05,1,H754=0,0)</f>
        <v>1</v>
      </c>
      <c r="Z754">
        <f t="shared" si="82"/>
        <v>10</v>
      </c>
      <c r="AA754">
        <f t="shared" si="83"/>
        <v>2024</v>
      </c>
    </row>
    <row r="755" spans="1:27" x14ac:dyDescent="0.3">
      <c r="A755" s="2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1532</v>
      </c>
      <c r="O755" t="s">
        <v>1533</v>
      </c>
      <c r="P755">
        <v>46.33</v>
      </c>
      <c r="Q755" s="2">
        <v>45144</v>
      </c>
      <c r="R755" s="2">
        <v>45150</v>
      </c>
      <c r="S755" t="s">
        <v>28</v>
      </c>
      <c r="T755">
        <f t="shared" si="77"/>
        <v>2531.1689999999999</v>
      </c>
      <c r="U755">
        <f t="shared" si="78"/>
        <v>5</v>
      </c>
      <c r="V755">
        <f t="shared" si="79"/>
        <v>2615.6200000000003</v>
      </c>
      <c r="W755">
        <f t="shared" si="80"/>
        <v>130.7810000000004</v>
      </c>
      <c r="X755">
        <f t="shared" si="81"/>
        <v>6</v>
      </c>
      <c r="Y755" cm="1">
        <f t="array" ref="Y755">_xlfn.IFS(H755=0.1,1,H755=0.15,1,H755=0.05,1,H755=0,0)</f>
        <v>1</v>
      </c>
      <c r="Z755">
        <f t="shared" si="82"/>
        <v>7</v>
      </c>
      <c r="AA755">
        <f t="shared" si="83"/>
        <v>2023</v>
      </c>
    </row>
    <row r="756" spans="1:27" x14ac:dyDescent="0.3">
      <c r="A756" s="2">
        <v>45464</v>
      </c>
      <c r="B756" t="s">
        <v>71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1534</v>
      </c>
      <c r="O756" t="s">
        <v>1535</v>
      </c>
      <c r="P756">
        <v>28.77</v>
      </c>
      <c r="Q756" s="2">
        <v>45464</v>
      </c>
      <c r="R756" s="2">
        <v>45470</v>
      </c>
      <c r="S756" t="s">
        <v>74</v>
      </c>
      <c r="T756">
        <f t="shared" si="77"/>
        <v>2145.9470000000001</v>
      </c>
      <c r="U756">
        <f t="shared" si="78"/>
        <v>15</v>
      </c>
      <c r="V756">
        <f t="shared" si="79"/>
        <v>2489.6200000000003</v>
      </c>
      <c r="W756">
        <f t="shared" si="80"/>
        <v>373.44300000000021</v>
      </c>
      <c r="X756">
        <f t="shared" si="81"/>
        <v>6</v>
      </c>
      <c r="Y756" cm="1">
        <f t="array" ref="Y756">_xlfn.IFS(H756=0.1,1,H756=0.15,1,H756=0.05,1,H756=0,0)</f>
        <v>1</v>
      </c>
      <c r="Z756">
        <f t="shared" si="82"/>
        <v>7</v>
      </c>
      <c r="AA756">
        <f t="shared" si="83"/>
        <v>2024</v>
      </c>
    </row>
    <row r="757" spans="1:27" x14ac:dyDescent="0.3">
      <c r="A757" s="2">
        <v>45732</v>
      </c>
      <c r="B757" t="s">
        <v>39</v>
      </c>
      <c r="C757" t="s">
        <v>81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68</v>
      </c>
      <c r="J757">
        <v>2811.348</v>
      </c>
      <c r="K757" t="s">
        <v>65</v>
      </c>
      <c r="L757" t="s">
        <v>35</v>
      </c>
      <c r="M757">
        <v>0</v>
      </c>
      <c r="N757" t="s">
        <v>1536</v>
      </c>
      <c r="O757" t="s">
        <v>1537</v>
      </c>
      <c r="P757">
        <v>14.58</v>
      </c>
      <c r="Q757" s="2">
        <v>45732</v>
      </c>
      <c r="R757" s="2">
        <v>45740</v>
      </c>
      <c r="S757" t="s">
        <v>44</v>
      </c>
      <c r="T757">
        <f t="shared" si="77"/>
        <v>2825.9279999999999</v>
      </c>
      <c r="U757">
        <f t="shared" si="78"/>
        <v>10</v>
      </c>
      <c r="V757">
        <f t="shared" si="79"/>
        <v>3123.7200000000003</v>
      </c>
      <c r="W757">
        <f t="shared" si="80"/>
        <v>312.3720000000003</v>
      </c>
      <c r="X757">
        <f t="shared" si="81"/>
        <v>8</v>
      </c>
      <c r="Y757" cm="1">
        <f t="array" ref="Y757">_xlfn.IFS(H757=0.1,1,H757=0.15,1,H757=0.05,1,H757=0,0)</f>
        <v>1</v>
      </c>
      <c r="Z757">
        <f t="shared" si="82"/>
        <v>12</v>
      </c>
      <c r="AA757">
        <f t="shared" si="83"/>
        <v>2025</v>
      </c>
    </row>
    <row r="758" spans="1:27" x14ac:dyDescent="0.3">
      <c r="A758" s="2">
        <v>45402</v>
      </c>
      <c r="B758" t="s">
        <v>71</v>
      </c>
      <c r="C758" t="s">
        <v>81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1538</v>
      </c>
      <c r="O758" t="s">
        <v>1539</v>
      </c>
      <c r="P758">
        <v>11.16</v>
      </c>
      <c r="Q758" s="2">
        <v>45402</v>
      </c>
      <c r="R758" s="2">
        <v>45407</v>
      </c>
      <c r="S758" t="s">
        <v>74</v>
      </c>
      <c r="T758">
        <f t="shared" si="77"/>
        <v>3165.5749999999998</v>
      </c>
      <c r="U758">
        <f t="shared" si="78"/>
        <v>15</v>
      </c>
      <c r="V758">
        <f t="shared" si="79"/>
        <v>3709.9</v>
      </c>
      <c r="W758">
        <f t="shared" si="80"/>
        <v>556.48500000000013</v>
      </c>
      <c r="X758">
        <f t="shared" si="81"/>
        <v>5</v>
      </c>
      <c r="Y758" cm="1">
        <f t="array" ref="Y758">_xlfn.IFS(H758=0.1,1,H758=0.15,1,H758=0.05,1,H758=0,0)</f>
        <v>1</v>
      </c>
      <c r="Z758">
        <f t="shared" si="82"/>
        <v>10</v>
      </c>
      <c r="AA758">
        <f t="shared" si="83"/>
        <v>2024</v>
      </c>
    </row>
    <row r="759" spans="1:27" x14ac:dyDescent="0.3">
      <c r="A759" s="2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1540</v>
      </c>
      <c r="O759" t="s">
        <v>1541</v>
      </c>
      <c r="P759">
        <v>26.35</v>
      </c>
      <c r="Q759" s="2">
        <v>45646</v>
      </c>
      <c r="R759" s="2">
        <v>45655</v>
      </c>
      <c r="S759" t="s">
        <v>28</v>
      </c>
      <c r="T759">
        <f t="shared" si="77"/>
        <v>1015.046</v>
      </c>
      <c r="U759">
        <f t="shared" si="78"/>
        <v>10</v>
      </c>
      <c r="V759">
        <f t="shared" si="79"/>
        <v>1097.44</v>
      </c>
      <c r="W759">
        <f t="shared" si="80"/>
        <v>109.74400000000003</v>
      </c>
      <c r="X759">
        <f t="shared" si="81"/>
        <v>9</v>
      </c>
      <c r="Y759" cm="1">
        <f t="array" ref="Y759">_xlfn.IFS(H759=0.1,1,H759=0.15,1,H759=0.05,1,H759=0,0)</f>
        <v>1</v>
      </c>
      <c r="Z759">
        <f t="shared" si="82"/>
        <v>2</v>
      </c>
      <c r="AA759">
        <f t="shared" si="83"/>
        <v>2024</v>
      </c>
    </row>
    <row r="760" spans="1:27" x14ac:dyDescent="0.3">
      <c r="A760" s="2">
        <v>45160</v>
      </c>
      <c r="B760" t="s">
        <v>39</v>
      </c>
      <c r="C760" t="s">
        <v>132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65</v>
      </c>
      <c r="L760" t="s">
        <v>59</v>
      </c>
      <c r="M760">
        <v>0</v>
      </c>
      <c r="N760" t="s">
        <v>1542</v>
      </c>
      <c r="O760" t="s">
        <v>1543</v>
      </c>
      <c r="P760">
        <v>16.100000000000001</v>
      </c>
      <c r="Q760" s="2">
        <v>45160</v>
      </c>
      <c r="R760" s="2">
        <v>45170</v>
      </c>
      <c r="S760" t="s">
        <v>44</v>
      </c>
      <c r="T760">
        <f t="shared" si="77"/>
        <v>2764.3399999999997</v>
      </c>
      <c r="U760">
        <f t="shared" si="78"/>
        <v>0</v>
      </c>
      <c r="V760">
        <f t="shared" si="79"/>
        <v>2748.24</v>
      </c>
      <c r="W760">
        <f t="shared" si="80"/>
        <v>0</v>
      </c>
      <c r="X760">
        <f t="shared" si="81"/>
        <v>10</v>
      </c>
      <c r="Y760" cm="1">
        <f t="array" ref="Y760">_xlfn.IFS(H760=0.1,1,H760=0.15,1,H760=0.05,1,H760=0,0)</f>
        <v>0</v>
      </c>
      <c r="Z760">
        <f t="shared" si="82"/>
        <v>0</v>
      </c>
      <c r="AA760">
        <f t="shared" si="83"/>
        <v>2023</v>
      </c>
    </row>
    <row r="761" spans="1:27" x14ac:dyDescent="0.3">
      <c r="A761" s="2">
        <v>44989</v>
      </c>
      <c r="B761" t="s">
        <v>39</v>
      </c>
      <c r="C761" t="s">
        <v>81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65</v>
      </c>
      <c r="L761" t="s">
        <v>25</v>
      </c>
      <c r="M761">
        <v>0</v>
      </c>
      <c r="N761" t="s">
        <v>1544</v>
      </c>
      <c r="O761" t="s">
        <v>1545</v>
      </c>
      <c r="P761">
        <v>5.85</v>
      </c>
      <c r="Q761" s="2">
        <v>44989</v>
      </c>
      <c r="R761" s="2">
        <v>44998</v>
      </c>
      <c r="S761" t="s">
        <v>44</v>
      </c>
      <c r="T761">
        <f t="shared" si="77"/>
        <v>5473.1690000000008</v>
      </c>
      <c r="U761">
        <f t="shared" si="78"/>
        <v>15</v>
      </c>
      <c r="V761">
        <f t="shared" si="79"/>
        <v>6432.1399999999994</v>
      </c>
      <c r="W761">
        <f t="shared" si="80"/>
        <v>964.820999999999</v>
      </c>
      <c r="X761">
        <f t="shared" si="81"/>
        <v>9</v>
      </c>
      <c r="Y761" cm="1">
        <f t="array" ref="Y761">_xlfn.IFS(H761=0.1,1,H761=0.15,1,H761=0.05,1,H761=0,0)</f>
        <v>1</v>
      </c>
      <c r="Z761">
        <f t="shared" si="82"/>
        <v>13</v>
      </c>
      <c r="AA761">
        <f t="shared" si="83"/>
        <v>2023</v>
      </c>
    </row>
    <row r="762" spans="1:27" x14ac:dyDescent="0.3">
      <c r="A762" s="2">
        <v>45467</v>
      </c>
      <c r="B762" t="s">
        <v>39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62</v>
      </c>
      <c r="L762" t="s">
        <v>25</v>
      </c>
      <c r="M762">
        <v>1</v>
      </c>
      <c r="N762" t="s">
        <v>1546</v>
      </c>
      <c r="O762" t="s">
        <v>1547</v>
      </c>
      <c r="P762">
        <v>29.9</v>
      </c>
      <c r="Q762" s="2">
        <v>45467</v>
      </c>
      <c r="R762" s="2">
        <v>45474</v>
      </c>
      <c r="S762" t="s">
        <v>44</v>
      </c>
      <c r="T762">
        <f t="shared" si="77"/>
        <v>327.52199999999999</v>
      </c>
      <c r="U762">
        <f t="shared" si="78"/>
        <v>10</v>
      </c>
      <c r="V762">
        <f t="shared" si="79"/>
        <v>329.58</v>
      </c>
      <c r="W762">
        <f t="shared" si="80"/>
        <v>32.95799999999997</v>
      </c>
      <c r="X762">
        <f t="shared" si="81"/>
        <v>7</v>
      </c>
      <c r="Y762" cm="1">
        <f t="array" ref="Y762">_xlfn.IFS(H762=0.1,1,H762=0.15,1,H762=0.05,1,H762=0,0)</f>
        <v>1</v>
      </c>
      <c r="Z762">
        <f t="shared" si="82"/>
        <v>9</v>
      </c>
      <c r="AA762">
        <f t="shared" si="83"/>
        <v>2024</v>
      </c>
    </row>
    <row r="763" spans="1:27" x14ac:dyDescent="0.3">
      <c r="A763" s="2">
        <v>45635</v>
      </c>
      <c r="B763" t="s">
        <v>19</v>
      </c>
      <c r="C763" t="s">
        <v>81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1548</v>
      </c>
      <c r="O763" t="s">
        <v>1549</v>
      </c>
      <c r="P763">
        <v>14.39</v>
      </c>
      <c r="Q763" s="2">
        <v>45635</v>
      </c>
      <c r="R763" s="2">
        <v>45639</v>
      </c>
      <c r="S763" t="s">
        <v>28</v>
      </c>
      <c r="T763">
        <f t="shared" si="77"/>
        <v>3041.19</v>
      </c>
      <c r="U763">
        <f t="shared" si="78"/>
        <v>0</v>
      </c>
      <c r="V763">
        <f t="shared" si="79"/>
        <v>3026.7999999999997</v>
      </c>
      <c r="W763">
        <f t="shared" si="80"/>
        <v>0</v>
      </c>
      <c r="X763">
        <f t="shared" si="81"/>
        <v>4</v>
      </c>
      <c r="Y763" cm="1">
        <f t="array" ref="Y763">_xlfn.IFS(H763=0.1,1,H763=0.15,1,H763=0.05,1,H763=0,0)</f>
        <v>0</v>
      </c>
      <c r="Z763">
        <f t="shared" si="82"/>
        <v>0</v>
      </c>
      <c r="AA763">
        <f t="shared" si="83"/>
        <v>2024</v>
      </c>
    </row>
    <row r="764" spans="1:27" x14ac:dyDescent="0.3">
      <c r="A764" s="2">
        <v>45477</v>
      </c>
      <c r="B764" t="s">
        <v>71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62</v>
      </c>
      <c r="L764" t="s">
        <v>35</v>
      </c>
      <c r="M764">
        <v>0</v>
      </c>
      <c r="N764" t="s">
        <v>1550</v>
      </c>
      <c r="O764" t="s">
        <v>766</v>
      </c>
      <c r="P764">
        <v>38.58</v>
      </c>
      <c r="Q764" s="2">
        <v>45477</v>
      </c>
      <c r="R764" s="2">
        <v>45480</v>
      </c>
      <c r="S764" t="s">
        <v>74</v>
      </c>
      <c r="T764">
        <f t="shared" si="77"/>
        <v>1386.5255</v>
      </c>
      <c r="U764">
        <f t="shared" si="78"/>
        <v>5</v>
      </c>
      <c r="V764">
        <f t="shared" si="79"/>
        <v>1418.89</v>
      </c>
      <c r="W764">
        <f t="shared" si="80"/>
        <v>70.944500000000062</v>
      </c>
      <c r="X764">
        <f t="shared" si="81"/>
        <v>3</v>
      </c>
      <c r="Y764" cm="1">
        <f t="array" ref="Y764">_xlfn.IFS(H764=0.1,1,H764=0.15,1,H764=0.05,1,H764=0,0)</f>
        <v>1</v>
      </c>
      <c r="Z764">
        <f t="shared" si="82"/>
        <v>11</v>
      </c>
      <c r="AA764">
        <f t="shared" si="83"/>
        <v>2024</v>
      </c>
    </row>
    <row r="765" spans="1:27" x14ac:dyDescent="0.3">
      <c r="A765" s="2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1551</v>
      </c>
      <c r="O765" t="s">
        <v>1552</v>
      </c>
      <c r="P765">
        <v>41.83</v>
      </c>
      <c r="Q765" s="2">
        <v>45720</v>
      </c>
      <c r="R765" s="2">
        <v>45722</v>
      </c>
      <c r="S765" t="s">
        <v>28</v>
      </c>
      <c r="T765">
        <f t="shared" si="77"/>
        <v>1753.9085</v>
      </c>
      <c r="U765">
        <f t="shared" si="78"/>
        <v>15</v>
      </c>
      <c r="V765">
        <f t="shared" si="79"/>
        <v>2014.21</v>
      </c>
      <c r="W765">
        <f t="shared" si="80"/>
        <v>302.13149999999996</v>
      </c>
      <c r="X765">
        <f t="shared" si="81"/>
        <v>2</v>
      </c>
      <c r="Y765" cm="1">
        <f t="array" ref="Y765">_xlfn.IFS(H765=0.1,1,H765=0.15,1,H765=0.05,1,H765=0,0)</f>
        <v>1</v>
      </c>
      <c r="Z765">
        <f t="shared" si="82"/>
        <v>11</v>
      </c>
      <c r="AA765">
        <f t="shared" si="83"/>
        <v>2025</v>
      </c>
    </row>
    <row r="766" spans="1:27" x14ac:dyDescent="0.3">
      <c r="A766" s="2">
        <v>45313</v>
      </c>
      <c r="B766" t="s">
        <v>19</v>
      </c>
      <c r="C766" t="s">
        <v>132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1553</v>
      </c>
      <c r="O766" t="s">
        <v>1554</v>
      </c>
      <c r="P766">
        <v>44.04</v>
      </c>
      <c r="Q766" s="2">
        <v>45313</v>
      </c>
      <c r="R766" s="2">
        <v>45320</v>
      </c>
      <c r="S766" t="s">
        <v>28</v>
      </c>
      <c r="T766">
        <f t="shared" si="77"/>
        <v>2948.6174999999998</v>
      </c>
      <c r="U766">
        <f t="shared" si="78"/>
        <v>5</v>
      </c>
      <c r="V766">
        <f t="shared" si="79"/>
        <v>3057.45</v>
      </c>
      <c r="W766">
        <f t="shared" si="80"/>
        <v>152.87249999999995</v>
      </c>
      <c r="X766">
        <f t="shared" si="81"/>
        <v>7</v>
      </c>
      <c r="Y766" cm="1">
        <f t="array" ref="Y766">_xlfn.IFS(H766=0.1,1,H766=0.15,1,H766=0.05,1,H766=0,0)</f>
        <v>1</v>
      </c>
      <c r="Z766">
        <f t="shared" si="82"/>
        <v>11</v>
      </c>
      <c r="AA766">
        <f t="shared" si="83"/>
        <v>2024</v>
      </c>
    </row>
    <row r="767" spans="1:27" x14ac:dyDescent="0.3">
      <c r="A767" s="2">
        <v>45728</v>
      </c>
      <c r="B767" t="s">
        <v>19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65</v>
      </c>
      <c r="L767" t="s">
        <v>59</v>
      </c>
      <c r="M767">
        <v>0</v>
      </c>
      <c r="N767" t="s">
        <v>1555</v>
      </c>
      <c r="O767" t="s">
        <v>1556</v>
      </c>
      <c r="P767">
        <v>36.72</v>
      </c>
      <c r="Q767" s="2">
        <v>45728</v>
      </c>
      <c r="R767" s="2">
        <v>45737</v>
      </c>
      <c r="S767" t="s">
        <v>28</v>
      </c>
      <c r="T767">
        <f t="shared" si="77"/>
        <v>7405.9840000000004</v>
      </c>
      <c r="U767">
        <f t="shared" si="78"/>
        <v>5</v>
      </c>
      <c r="V767">
        <f t="shared" si="79"/>
        <v>7757.1200000000008</v>
      </c>
      <c r="W767">
        <f t="shared" si="80"/>
        <v>387.85600000000068</v>
      </c>
      <c r="X767">
        <f t="shared" si="81"/>
        <v>9</v>
      </c>
      <c r="Y767" cm="1">
        <f t="array" ref="Y767">_xlfn.IFS(H767=0.1,1,H767=0.15,1,H767=0.05,1,H767=0,0)</f>
        <v>1</v>
      </c>
      <c r="Z767">
        <f t="shared" si="82"/>
        <v>14</v>
      </c>
      <c r="AA767">
        <f t="shared" si="83"/>
        <v>2025</v>
      </c>
    </row>
    <row r="768" spans="1:27" x14ac:dyDescent="0.3">
      <c r="A768" s="2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62</v>
      </c>
      <c r="L768" t="s">
        <v>59</v>
      </c>
      <c r="M768">
        <v>0</v>
      </c>
      <c r="N768" t="s">
        <v>1557</v>
      </c>
      <c r="O768" t="s">
        <v>1558</v>
      </c>
      <c r="P768">
        <v>25.27</v>
      </c>
      <c r="Q768" s="2">
        <v>45716</v>
      </c>
      <c r="R768" s="2">
        <v>45719</v>
      </c>
      <c r="S768" t="s">
        <v>50</v>
      </c>
      <c r="T768">
        <f t="shared" si="77"/>
        <v>357.58</v>
      </c>
      <c r="U768">
        <f t="shared" si="78"/>
        <v>5</v>
      </c>
      <c r="V768">
        <f t="shared" si="79"/>
        <v>349.8</v>
      </c>
      <c r="W768">
        <f t="shared" si="80"/>
        <v>17.490000000000009</v>
      </c>
      <c r="X768">
        <f t="shared" si="81"/>
        <v>3</v>
      </c>
      <c r="Y768" cm="1">
        <f t="array" ref="Y768">_xlfn.IFS(H768=0.1,1,H768=0.15,1,H768=0.05,1,H768=0,0)</f>
        <v>1</v>
      </c>
      <c r="Z768">
        <f t="shared" si="82"/>
        <v>15</v>
      </c>
      <c r="AA768">
        <f t="shared" si="83"/>
        <v>2025</v>
      </c>
    </row>
    <row r="769" spans="1:27" x14ac:dyDescent="0.3">
      <c r="A769" s="2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68</v>
      </c>
      <c r="J769">
        <v>79.647999999999996</v>
      </c>
      <c r="K769" t="s">
        <v>24</v>
      </c>
      <c r="L769" t="s">
        <v>25</v>
      </c>
      <c r="M769">
        <v>1</v>
      </c>
      <c r="N769" t="s">
        <v>1559</v>
      </c>
      <c r="O769" t="s">
        <v>1560</v>
      </c>
      <c r="P769">
        <v>33.67</v>
      </c>
      <c r="Q769" s="2">
        <v>45435</v>
      </c>
      <c r="R769" s="2">
        <v>45443</v>
      </c>
      <c r="S769" t="s">
        <v>28</v>
      </c>
      <c r="T769">
        <f t="shared" si="77"/>
        <v>114.318</v>
      </c>
      <c r="U769">
        <f t="shared" si="78"/>
        <v>5</v>
      </c>
      <c r="V769">
        <f t="shared" si="79"/>
        <v>83.84</v>
      </c>
      <c r="W769">
        <f t="shared" si="80"/>
        <v>4.1920000000000073</v>
      </c>
      <c r="X769">
        <f t="shared" si="81"/>
        <v>8</v>
      </c>
      <c r="Y769" cm="1">
        <f t="array" ref="Y769">_xlfn.IFS(H769=0.1,1,H769=0.15,1,H769=0.05,1,H769=0,0)</f>
        <v>1</v>
      </c>
      <c r="Z769">
        <f t="shared" si="82"/>
        <v>4</v>
      </c>
      <c r="AA769">
        <f t="shared" si="83"/>
        <v>2024</v>
      </c>
    </row>
    <row r="770" spans="1:27" x14ac:dyDescent="0.3">
      <c r="A770" s="2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L770" t="s">
        <v>59</v>
      </c>
      <c r="M770">
        <v>1</v>
      </c>
      <c r="N770" t="s">
        <v>1561</v>
      </c>
      <c r="O770" t="s">
        <v>1562</v>
      </c>
      <c r="P770">
        <v>24.3</v>
      </c>
      <c r="Q770" s="2">
        <v>45186</v>
      </c>
      <c r="R770" s="2">
        <v>45189</v>
      </c>
      <c r="S770" t="s">
        <v>44</v>
      </c>
      <c r="T770">
        <f t="shared" si="77"/>
        <v>2287.4590000000003</v>
      </c>
      <c r="U770">
        <f t="shared" si="78"/>
        <v>5</v>
      </c>
      <c r="V770">
        <f t="shared" si="79"/>
        <v>2381.2199999999998</v>
      </c>
      <c r="W770">
        <f t="shared" si="80"/>
        <v>119.06099999999969</v>
      </c>
      <c r="X770">
        <f t="shared" si="81"/>
        <v>3</v>
      </c>
      <c r="Y770" cm="1">
        <f t="array" ref="Y770">_xlfn.IFS(H770=0.1,1,H770=0.15,1,H770=0.05,1,H770=0,0)</f>
        <v>1</v>
      </c>
      <c r="Z770">
        <f t="shared" si="82"/>
        <v>18</v>
      </c>
      <c r="AA770">
        <f t="shared" si="83"/>
        <v>2023</v>
      </c>
    </row>
    <row r="771" spans="1:27" x14ac:dyDescent="0.3">
      <c r="A771" s="2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65</v>
      </c>
      <c r="L771" t="s">
        <v>35</v>
      </c>
      <c r="M771">
        <v>1</v>
      </c>
      <c r="N771" t="s">
        <v>1563</v>
      </c>
      <c r="O771" t="s">
        <v>1564</v>
      </c>
      <c r="P771">
        <v>35.119999999999997</v>
      </c>
      <c r="Q771" s="2">
        <v>45090</v>
      </c>
      <c r="R771" s="2">
        <v>45095</v>
      </c>
      <c r="S771" t="s">
        <v>28</v>
      </c>
      <c r="T771">
        <f t="shared" ref="T771:T834" si="84">SUM(J771:P771)</f>
        <v>3450.1349999999998</v>
      </c>
      <c r="U771">
        <f t="shared" ref="U771:U834" si="85">PRODUCT(100,H771)</f>
        <v>10</v>
      </c>
      <c r="V771">
        <f t="shared" ref="V771:V834" si="86">PRODUCT(D771:E771)</f>
        <v>3793.35</v>
      </c>
      <c r="W771">
        <f t="shared" ref="W771:W834" si="87" xml:space="preserve"> V771-J771</f>
        <v>379.33500000000004</v>
      </c>
      <c r="X771">
        <f t="shared" ref="X771:X834" si="88">R771-Q771</f>
        <v>5</v>
      </c>
      <c r="Y771" cm="1">
        <f t="array" ref="Y771">_xlfn.IFS(H771=0.1,1,H771=0.15,1,H771=0.05,1,H771=0,0)</f>
        <v>1</v>
      </c>
      <c r="Z771">
        <f t="shared" ref="Z771:Z834" si="89">PRODUCT(Y771,D771)</f>
        <v>19</v>
      </c>
      <c r="AA771">
        <f t="shared" ref="AA771:AA834" si="90">YEAR(A771)</f>
        <v>2023</v>
      </c>
    </row>
    <row r="772" spans="1:27" x14ac:dyDescent="0.3">
      <c r="A772" s="2">
        <v>45808</v>
      </c>
      <c r="B772" t="s">
        <v>71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68</v>
      </c>
      <c r="J772">
        <v>4912</v>
      </c>
      <c r="K772" t="s">
        <v>62</v>
      </c>
      <c r="L772" t="s">
        <v>25</v>
      </c>
      <c r="M772">
        <v>0</v>
      </c>
      <c r="N772" t="s">
        <v>1565</v>
      </c>
      <c r="O772" t="s">
        <v>1566</v>
      </c>
      <c r="P772">
        <v>11.99</v>
      </c>
      <c r="Q772" s="2">
        <v>45808</v>
      </c>
      <c r="R772" s="2">
        <v>45810</v>
      </c>
      <c r="S772" t="s">
        <v>74</v>
      </c>
      <c r="T772">
        <f t="shared" si="84"/>
        <v>4923.99</v>
      </c>
      <c r="U772">
        <f t="shared" si="85"/>
        <v>0</v>
      </c>
      <c r="V772">
        <f t="shared" si="86"/>
        <v>4912</v>
      </c>
      <c r="W772">
        <f t="shared" si="87"/>
        <v>0</v>
      </c>
      <c r="X772">
        <f t="shared" si="88"/>
        <v>2</v>
      </c>
      <c r="Y772" cm="1">
        <f t="array" ref="Y772">_xlfn.IFS(H772=0.1,1,H772=0.15,1,H772=0.05,1,H772=0,0)</f>
        <v>0</v>
      </c>
      <c r="Z772">
        <f t="shared" si="89"/>
        <v>0</v>
      </c>
      <c r="AA772">
        <f t="shared" si="90"/>
        <v>2025</v>
      </c>
    </row>
    <row r="773" spans="1:27" x14ac:dyDescent="0.3">
      <c r="A773" s="2">
        <v>45210</v>
      </c>
      <c r="B773" t="s">
        <v>19</v>
      </c>
      <c r="C773" t="s">
        <v>81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1567</v>
      </c>
      <c r="O773" t="s">
        <v>1568</v>
      </c>
      <c r="P773">
        <v>43.2</v>
      </c>
      <c r="Q773" s="2">
        <v>45210</v>
      </c>
      <c r="R773" s="2">
        <v>45213</v>
      </c>
      <c r="S773" t="s">
        <v>28</v>
      </c>
      <c r="T773">
        <f t="shared" si="84"/>
        <v>311.7405</v>
      </c>
      <c r="U773">
        <f t="shared" si="85"/>
        <v>15</v>
      </c>
      <c r="V773">
        <f t="shared" si="86"/>
        <v>315.93</v>
      </c>
      <c r="W773">
        <f t="shared" si="87"/>
        <v>47.389499999999998</v>
      </c>
      <c r="X773">
        <f t="shared" si="88"/>
        <v>3</v>
      </c>
      <c r="Y773" cm="1">
        <f t="array" ref="Y773">_xlfn.IFS(H773=0.1,1,H773=0.15,1,H773=0.05,1,H773=0,0)</f>
        <v>1</v>
      </c>
      <c r="Z773">
        <f t="shared" si="89"/>
        <v>1</v>
      </c>
      <c r="AA773">
        <f t="shared" si="90"/>
        <v>2023</v>
      </c>
    </row>
    <row r="774" spans="1:27" x14ac:dyDescent="0.3">
      <c r="A774" s="2">
        <v>45145</v>
      </c>
      <c r="B774" t="s">
        <v>71</v>
      </c>
      <c r="C774" t="s">
        <v>132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65</v>
      </c>
      <c r="L774" t="s">
        <v>35</v>
      </c>
      <c r="M774">
        <v>0</v>
      </c>
      <c r="N774" t="s">
        <v>1569</v>
      </c>
      <c r="O774" t="s">
        <v>1570</v>
      </c>
      <c r="P774">
        <v>14.43</v>
      </c>
      <c r="Q774" s="2">
        <v>45145</v>
      </c>
      <c r="R774" s="2">
        <v>45152</v>
      </c>
      <c r="S774" t="s">
        <v>74</v>
      </c>
      <c r="T774">
        <f t="shared" si="84"/>
        <v>2999.2799999999997</v>
      </c>
      <c r="U774">
        <f t="shared" si="85"/>
        <v>0</v>
      </c>
      <c r="V774">
        <f t="shared" si="86"/>
        <v>2984.8500000000004</v>
      </c>
      <c r="W774">
        <f t="shared" si="87"/>
        <v>0</v>
      </c>
      <c r="X774">
        <f t="shared" si="88"/>
        <v>7</v>
      </c>
      <c r="Y774" cm="1">
        <f t="array" ref="Y774">_xlfn.IFS(H774=0.1,1,H774=0.15,1,H774=0.05,1,H774=0,0)</f>
        <v>0</v>
      </c>
      <c r="Z774">
        <f t="shared" si="89"/>
        <v>0</v>
      </c>
      <c r="AA774">
        <f t="shared" si="90"/>
        <v>2023</v>
      </c>
    </row>
    <row r="775" spans="1:27" x14ac:dyDescent="0.3">
      <c r="A775" s="2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62</v>
      </c>
      <c r="L775" t="s">
        <v>59</v>
      </c>
      <c r="M775">
        <v>1</v>
      </c>
      <c r="N775" t="s">
        <v>1571</v>
      </c>
      <c r="O775" t="s">
        <v>1572</v>
      </c>
      <c r="P775">
        <v>38.479999999999997</v>
      </c>
      <c r="Q775" s="2">
        <v>45263</v>
      </c>
      <c r="R775" s="2">
        <v>45265</v>
      </c>
      <c r="S775" t="s">
        <v>44</v>
      </c>
      <c r="T775">
        <f t="shared" si="84"/>
        <v>6127.7069999999994</v>
      </c>
      <c r="U775">
        <f t="shared" si="85"/>
        <v>5</v>
      </c>
      <c r="V775">
        <f t="shared" si="86"/>
        <v>6408.66</v>
      </c>
      <c r="W775">
        <f t="shared" si="87"/>
        <v>320.43299999999999</v>
      </c>
      <c r="X775">
        <f t="shared" si="88"/>
        <v>2</v>
      </c>
      <c r="Y775" cm="1">
        <f t="array" ref="Y775">_xlfn.IFS(H775=0.1,1,H775=0.15,1,H775=0.05,1,H775=0,0)</f>
        <v>1</v>
      </c>
      <c r="Z775">
        <f t="shared" si="89"/>
        <v>17</v>
      </c>
      <c r="AA775">
        <f t="shared" si="90"/>
        <v>2023</v>
      </c>
    </row>
    <row r="776" spans="1:27" x14ac:dyDescent="0.3">
      <c r="A776" s="2">
        <v>45505</v>
      </c>
      <c r="B776" t="s">
        <v>45</v>
      </c>
      <c r="C776" t="s">
        <v>132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1573</v>
      </c>
      <c r="O776" t="s">
        <v>1574</v>
      </c>
      <c r="P776">
        <v>49.93</v>
      </c>
      <c r="Q776" s="2">
        <v>45505</v>
      </c>
      <c r="R776" s="2">
        <v>45508</v>
      </c>
      <c r="S776" t="s">
        <v>50</v>
      </c>
      <c r="T776">
        <f t="shared" si="84"/>
        <v>1176.586</v>
      </c>
      <c r="U776">
        <f t="shared" si="85"/>
        <v>10</v>
      </c>
      <c r="V776">
        <f t="shared" si="86"/>
        <v>1251.8399999999999</v>
      </c>
      <c r="W776">
        <f t="shared" si="87"/>
        <v>125.18399999999997</v>
      </c>
      <c r="X776">
        <f t="shared" si="88"/>
        <v>3</v>
      </c>
      <c r="Y776" cm="1">
        <f t="array" ref="Y776">_xlfn.IFS(H776=0.1,1,H776=0.15,1,H776=0.05,1,H776=0,0)</f>
        <v>1</v>
      </c>
      <c r="Z776">
        <f t="shared" si="89"/>
        <v>6</v>
      </c>
      <c r="AA776">
        <f t="shared" si="90"/>
        <v>2024</v>
      </c>
    </row>
    <row r="777" spans="1:27" x14ac:dyDescent="0.3">
      <c r="A777" s="2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62</v>
      </c>
      <c r="L777" t="s">
        <v>41</v>
      </c>
      <c r="M777">
        <v>1</v>
      </c>
      <c r="N777" t="s">
        <v>1575</v>
      </c>
      <c r="O777" t="s">
        <v>1576</v>
      </c>
      <c r="P777">
        <v>14</v>
      </c>
      <c r="Q777" s="2">
        <v>45005</v>
      </c>
      <c r="R777" s="2">
        <v>45012</v>
      </c>
      <c r="S777" t="s">
        <v>28</v>
      </c>
      <c r="T777">
        <f t="shared" si="84"/>
        <v>2169.7399999999998</v>
      </c>
      <c r="U777">
        <f t="shared" si="85"/>
        <v>0</v>
      </c>
      <c r="V777">
        <f t="shared" si="86"/>
        <v>2154.7399999999998</v>
      </c>
      <c r="W777">
        <f t="shared" si="87"/>
        <v>0</v>
      </c>
      <c r="X777">
        <f t="shared" si="88"/>
        <v>7</v>
      </c>
      <c r="Y777" cm="1">
        <f t="array" ref="Y777">_xlfn.IFS(H777=0.1,1,H777=0.15,1,H777=0.05,1,H777=0,0)</f>
        <v>0</v>
      </c>
      <c r="Z777">
        <f t="shared" si="89"/>
        <v>0</v>
      </c>
      <c r="AA777">
        <f t="shared" si="90"/>
        <v>2023</v>
      </c>
    </row>
    <row r="778" spans="1:27" x14ac:dyDescent="0.3">
      <c r="A778" s="2">
        <v>45838</v>
      </c>
      <c r="B778" t="s">
        <v>45</v>
      </c>
      <c r="C778" t="s">
        <v>81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1577</v>
      </c>
      <c r="O778" t="s">
        <v>1578</v>
      </c>
      <c r="P778">
        <v>7.59</v>
      </c>
      <c r="Q778" s="2">
        <v>45838</v>
      </c>
      <c r="R778" s="2">
        <v>45842</v>
      </c>
      <c r="S778" t="s">
        <v>50</v>
      </c>
      <c r="T778">
        <f t="shared" si="84"/>
        <v>4731.2179999999998</v>
      </c>
      <c r="U778">
        <f t="shared" si="85"/>
        <v>5</v>
      </c>
      <c r="V778">
        <f t="shared" si="86"/>
        <v>4972.24</v>
      </c>
      <c r="W778">
        <f t="shared" si="87"/>
        <v>248.61200000000008</v>
      </c>
      <c r="X778">
        <f t="shared" si="88"/>
        <v>4</v>
      </c>
      <c r="Y778" cm="1">
        <f t="array" ref="Y778">_xlfn.IFS(H778=0.1,1,H778=0.15,1,H778=0.05,1,H778=0,0)</f>
        <v>1</v>
      </c>
      <c r="Z778">
        <f t="shared" si="89"/>
        <v>13</v>
      </c>
      <c r="AA778">
        <f t="shared" si="90"/>
        <v>2025</v>
      </c>
    </row>
    <row r="779" spans="1:27" x14ac:dyDescent="0.3">
      <c r="A779" s="2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65</v>
      </c>
      <c r="L779" t="s">
        <v>25</v>
      </c>
      <c r="M779">
        <v>0</v>
      </c>
      <c r="N779" t="s">
        <v>1579</v>
      </c>
      <c r="O779" t="s">
        <v>1580</v>
      </c>
      <c r="P779">
        <v>11.44</v>
      </c>
      <c r="Q779" s="2">
        <v>45693</v>
      </c>
      <c r="R779" s="2">
        <v>45695</v>
      </c>
      <c r="S779" t="s">
        <v>38</v>
      </c>
      <c r="T779">
        <f t="shared" si="84"/>
        <v>1703.71</v>
      </c>
      <c r="U779">
        <f t="shared" si="85"/>
        <v>0</v>
      </c>
      <c r="V779">
        <f t="shared" si="86"/>
        <v>1692.27</v>
      </c>
      <c r="W779">
        <f t="shared" si="87"/>
        <v>0</v>
      </c>
      <c r="X779">
        <f t="shared" si="88"/>
        <v>2</v>
      </c>
      <c r="Y779" cm="1">
        <f t="array" ref="Y779">_xlfn.IFS(H779=0.1,1,H779=0.15,1,H779=0.05,1,H779=0,0)</f>
        <v>0</v>
      </c>
      <c r="Z779">
        <f t="shared" si="89"/>
        <v>0</v>
      </c>
      <c r="AA779">
        <f t="shared" si="90"/>
        <v>2025</v>
      </c>
    </row>
    <row r="780" spans="1:27" x14ac:dyDescent="0.3">
      <c r="A780" s="2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65</v>
      </c>
      <c r="L780" t="s">
        <v>25</v>
      </c>
      <c r="M780">
        <v>0</v>
      </c>
      <c r="N780" t="s">
        <v>1581</v>
      </c>
      <c r="O780" t="s">
        <v>1582</v>
      </c>
      <c r="P780">
        <v>21.64</v>
      </c>
      <c r="Q780" s="2">
        <v>45431</v>
      </c>
      <c r="R780" s="2">
        <v>45441</v>
      </c>
      <c r="S780" t="s">
        <v>28</v>
      </c>
      <c r="T780">
        <f t="shared" si="84"/>
        <v>3463.1965</v>
      </c>
      <c r="U780">
        <f t="shared" si="85"/>
        <v>15</v>
      </c>
      <c r="V780">
        <f t="shared" si="86"/>
        <v>4048.89</v>
      </c>
      <c r="W780">
        <f t="shared" si="87"/>
        <v>607.33349999999973</v>
      </c>
      <c r="X780">
        <f t="shared" si="88"/>
        <v>10</v>
      </c>
      <c r="Y780" cm="1">
        <f t="array" ref="Y780">_xlfn.IFS(H780=0.1,1,H780=0.15,1,H780=0.05,1,H780=0,0)</f>
        <v>1</v>
      </c>
      <c r="Z780">
        <f t="shared" si="89"/>
        <v>17</v>
      </c>
      <c r="AA780">
        <f t="shared" si="90"/>
        <v>2024</v>
      </c>
    </row>
    <row r="781" spans="1:27" x14ac:dyDescent="0.3">
      <c r="A781" s="2">
        <v>44989</v>
      </c>
      <c r="B781" t="s">
        <v>39</v>
      </c>
      <c r="C781" t="s">
        <v>132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68</v>
      </c>
      <c r="J781">
        <v>4056.389999999999</v>
      </c>
      <c r="K781" t="s">
        <v>34</v>
      </c>
      <c r="L781" t="s">
        <v>35</v>
      </c>
      <c r="M781">
        <v>0</v>
      </c>
      <c r="N781" t="s">
        <v>1583</v>
      </c>
      <c r="O781" t="s">
        <v>1584</v>
      </c>
      <c r="P781">
        <v>21.31</v>
      </c>
      <c r="Q781" s="2">
        <v>44989</v>
      </c>
      <c r="R781" s="2">
        <v>44997</v>
      </c>
      <c r="S781" t="s">
        <v>44</v>
      </c>
      <c r="T781">
        <f t="shared" si="84"/>
        <v>4077.6999999999989</v>
      </c>
      <c r="U781">
        <f t="shared" si="85"/>
        <v>10</v>
      </c>
      <c r="V781">
        <f t="shared" si="86"/>
        <v>4507.0999999999995</v>
      </c>
      <c r="W781">
        <f t="shared" si="87"/>
        <v>450.71000000000049</v>
      </c>
      <c r="X781">
        <f t="shared" si="88"/>
        <v>8</v>
      </c>
      <c r="Y781" cm="1">
        <f t="array" ref="Y781">_xlfn.IFS(H781=0.1,1,H781=0.15,1,H781=0.05,1,H781=0,0)</f>
        <v>1</v>
      </c>
      <c r="Z781">
        <f t="shared" si="89"/>
        <v>10</v>
      </c>
      <c r="AA781">
        <f t="shared" si="90"/>
        <v>2023</v>
      </c>
    </row>
    <row r="782" spans="1:27" x14ac:dyDescent="0.3">
      <c r="A782" s="2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1585</v>
      </c>
      <c r="O782" t="s">
        <v>945</v>
      </c>
      <c r="P782">
        <v>41.69</v>
      </c>
      <c r="Q782" s="2">
        <v>44948</v>
      </c>
      <c r="R782" s="2">
        <v>44950</v>
      </c>
      <c r="S782" t="s">
        <v>50</v>
      </c>
      <c r="T782">
        <f t="shared" si="84"/>
        <v>786.73800000000006</v>
      </c>
      <c r="U782">
        <f t="shared" si="85"/>
        <v>10</v>
      </c>
      <c r="V782">
        <f t="shared" si="86"/>
        <v>826.72</v>
      </c>
      <c r="W782">
        <f t="shared" si="87"/>
        <v>82.672000000000025</v>
      </c>
      <c r="X782">
        <f t="shared" si="88"/>
        <v>2</v>
      </c>
      <c r="Y782" cm="1">
        <f t="array" ref="Y782">_xlfn.IFS(H782=0.1,1,H782=0.15,1,H782=0.05,1,H782=0,0)</f>
        <v>1</v>
      </c>
      <c r="Z782">
        <f t="shared" si="89"/>
        <v>2</v>
      </c>
      <c r="AA782">
        <f t="shared" si="90"/>
        <v>2023</v>
      </c>
    </row>
    <row r="783" spans="1:27" x14ac:dyDescent="0.3">
      <c r="A783" s="2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62</v>
      </c>
      <c r="L783" t="s">
        <v>35</v>
      </c>
      <c r="M783">
        <v>0</v>
      </c>
      <c r="N783" t="s">
        <v>1586</v>
      </c>
      <c r="O783" t="s">
        <v>1587</v>
      </c>
      <c r="P783">
        <v>41.42</v>
      </c>
      <c r="Q783" s="2">
        <v>45005</v>
      </c>
      <c r="R783" s="2">
        <v>45010</v>
      </c>
      <c r="S783" t="s">
        <v>38</v>
      </c>
      <c r="T783">
        <f t="shared" si="84"/>
        <v>9165.49</v>
      </c>
      <c r="U783">
        <f t="shared" si="85"/>
        <v>15</v>
      </c>
      <c r="V783">
        <f t="shared" si="86"/>
        <v>10734.2</v>
      </c>
      <c r="W783">
        <f t="shared" si="87"/>
        <v>1610.130000000001</v>
      </c>
      <c r="X783">
        <f t="shared" si="88"/>
        <v>5</v>
      </c>
      <c r="Y783" cm="1">
        <f t="array" ref="Y783">_xlfn.IFS(H783=0.1,1,H783=0.15,1,H783=0.05,1,H783=0,0)</f>
        <v>1</v>
      </c>
      <c r="Z783">
        <f t="shared" si="89"/>
        <v>20</v>
      </c>
      <c r="AA783">
        <f t="shared" si="90"/>
        <v>2023</v>
      </c>
    </row>
    <row r="784" spans="1:27" x14ac:dyDescent="0.3">
      <c r="A784" s="2">
        <v>45448</v>
      </c>
      <c r="B784" t="s">
        <v>71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980.49499999999989</v>
      </c>
      <c r="K784" t="s">
        <v>62</v>
      </c>
      <c r="L784" t="s">
        <v>41</v>
      </c>
      <c r="M784">
        <v>0</v>
      </c>
      <c r="N784" t="s">
        <v>1588</v>
      </c>
      <c r="O784" t="s">
        <v>1589</v>
      </c>
      <c r="P784">
        <v>35.51</v>
      </c>
      <c r="Q784" s="2">
        <v>45448</v>
      </c>
      <c r="R784" s="2">
        <v>45456</v>
      </c>
      <c r="S784" t="s">
        <v>74</v>
      </c>
      <c r="T784">
        <f t="shared" si="84"/>
        <v>1016.0049999999999</v>
      </c>
      <c r="U784">
        <f t="shared" si="85"/>
        <v>5</v>
      </c>
      <c r="V784">
        <f t="shared" si="86"/>
        <v>1032.0999999999999</v>
      </c>
      <c r="W784">
        <f t="shared" si="87"/>
        <v>51.605000000000018</v>
      </c>
      <c r="X784">
        <f t="shared" si="88"/>
        <v>8</v>
      </c>
      <c r="Y784" cm="1">
        <f t="array" ref="Y784">_xlfn.IFS(H784=0.1,1,H784=0.15,1,H784=0.05,1,H784=0,0)</f>
        <v>1</v>
      </c>
      <c r="Z784">
        <f t="shared" si="89"/>
        <v>5</v>
      </c>
      <c r="AA784">
        <f t="shared" si="90"/>
        <v>2024</v>
      </c>
    </row>
    <row r="785" spans="1:27" x14ac:dyDescent="0.3">
      <c r="A785" s="2">
        <v>45482</v>
      </c>
      <c r="B785" t="s">
        <v>19</v>
      </c>
      <c r="C785" t="s">
        <v>132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873.22199999999987</v>
      </c>
      <c r="K785" t="s">
        <v>65</v>
      </c>
      <c r="L785" t="s">
        <v>59</v>
      </c>
      <c r="M785">
        <v>1</v>
      </c>
      <c r="N785" t="s">
        <v>1590</v>
      </c>
      <c r="O785" t="s">
        <v>1591</v>
      </c>
      <c r="P785">
        <v>44.72</v>
      </c>
      <c r="Q785" s="2">
        <v>45482</v>
      </c>
      <c r="R785" s="2">
        <v>45490</v>
      </c>
      <c r="S785" t="s">
        <v>28</v>
      </c>
      <c r="T785">
        <f t="shared" si="84"/>
        <v>918.94199999999989</v>
      </c>
      <c r="U785">
        <f t="shared" si="85"/>
        <v>15</v>
      </c>
      <c r="V785">
        <f t="shared" si="86"/>
        <v>1027.32</v>
      </c>
      <c r="W785">
        <f t="shared" si="87"/>
        <v>154.09800000000007</v>
      </c>
      <c r="X785">
        <f t="shared" si="88"/>
        <v>8</v>
      </c>
      <c r="Y785" cm="1">
        <f t="array" ref="Y785">_xlfn.IFS(H785=0.1,1,H785=0.15,1,H785=0.05,1,H785=0,0)</f>
        <v>1</v>
      </c>
      <c r="Z785">
        <f t="shared" si="89"/>
        <v>4</v>
      </c>
      <c r="AA785">
        <f t="shared" si="90"/>
        <v>2024</v>
      </c>
    </row>
    <row r="786" spans="1:27" x14ac:dyDescent="0.3">
      <c r="A786" s="2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68</v>
      </c>
      <c r="J786">
        <v>247.04</v>
      </c>
      <c r="K786" t="s">
        <v>58</v>
      </c>
      <c r="L786" t="s">
        <v>25</v>
      </c>
      <c r="M786">
        <v>0</v>
      </c>
      <c r="N786" t="s">
        <v>1592</v>
      </c>
      <c r="O786" t="s">
        <v>1593</v>
      </c>
      <c r="P786">
        <v>26.86</v>
      </c>
      <c r="Q786" s="2">
        <v>45724</v>
      </c>
      <c r="R786" s="2">
        <v>45729</v>
      </c>
      <c r="S786" t="s">
        <v>38</v>
      </c>
      <c r="T786">
        <f t="shared" si="84"/>
        <v>273.89999999999998</v>
      </c>
      <c r="U786">
        <f t="shared" si="85"/>
        <v>0</v>
      </c>
      <c r="V786">
        <f t="shared" si="86"/>
        <v>247.04</v>
      </c>
      <c r="W786">
        <f t="shared" si="87"/>
        <v>0</v>
      </c>
      <c r="X786">
        <f t="shared" si="88"/>
        <v>5</v>
      </c>
      <c r="Y786" cm="1">
        <f t="array" ref="Y786">_xlfn.IFS(H786=0.1,1,H786=0.15,1,H786=0.05,1,H786=0,0)</f>
        <v>0</v>
      </c>
      <c r="Z786">
        <f t="shared" si="89"/>
        <v>0</v>
      </c>
      <c r="AA786">
        <f t="shared" si="90"/>
        <v>2025</v>
      </c>
    </row>
    <row r="787" spans="1:27" x14ac:dyDescent="0.3">
      <c r="A787" s="2">
        <v>45829</v>
      </c>
      <c r="B787" t="s">
        <v>29</v>
      </c>
      <c r="C787" t="s">
        <v>81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65</v>
      </c>
      <c r="L787" t="s">
        <v>41</v>
      </c>
      <c r="M787">
        <v>1</v>
      </c>
      <c r="N787" t="s">
        <v>1594</v>
      </c>
      <c r="O787" t="s">
        <v>1595</v>
      </c>
      <c r="P787">
        <v>30.12</v>
      </c>
      <c r="Q787" s="2">
        <v>45829</v>
      </c>
      <c r="R787" s="2">
        <v>45838</v>
      </c>
      <c r="S787" t="s">
        <v>38</v>
      </c>
      <c r="T787">
        <f t="shared" si="84"/>
        <v>1518.7389999999998</v>
      </c>
      <c r="U787">
        <f t="shared" si="85"/>
        <v>15</v>
      </c>
      <c r="V787">
        <f t="shared" si="86"/>
        <v>1750.1399999999999</v>
      </c>
      <c r="W787">
        <f t="shared" si="87"/>
        <v>262.52099999999996</v>
      </c>
      <c r="X787">
        <f t="shared" si="88"/>
        <v>9</v>
      </c>
      <c r="Y787" cm="1">
        <f t="array" ref="Y787">_xlfn.IFS(H787=0.1,1,H787=0.15,1,H787=0.05,1,H787=0,0)</f>
        <v>1</v>
      </c>
      <c r="Z787">
        <f t="shared" si="89"/>
        <v>3</v>
      </c>
      <c r="AA787">
        <f t="shared" si="90"/>
        <v>2025</v>
      </c>
    </row>
    <row r="788" spans="1:27" x14ac:dyDescent="0.3">
      <c r="A788" s="2">
        <v>45836</v>
      </c>
      <c r="B788" t="s">
        <v>39</v>
      </c>
      <c r="C788" t="s">
        <v>81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3772.2489999999989</v>
      </c>
      <c r="K788" t="s">
        <v>65</v>
      </c>
      <c r="L788" t="s">
        <v>59</v>
      </c>
      <c r="M788">
        <v>0</v>
      </c>
      <c r="N788" t="s">
        <v>1596</v>
      </c>
      <c r="O788" t="s">
        <v>1597</v>
      </c>
      <c r="P788">
        <v>18.2</v>
      </c>
      <c r="Q788" s="2">
        <v>45836</v>
      </c>
      <c r="R788" s="2">
        <v>45839</v>
      </c>
      <c r="S788" t="s">
        <v>44</v>
      </c>
      <c r="T788">
        <f t="shared" si="84"/>
        <v>3790.4489999999987</v>
      </c>
      <c r="U788">
        <f t="shared" si="85"/>
        <v>15</v>
      </c>
      <c r="V788">
        <f t="shared" si="86"/>
        <v>4437.9399999999996</v>
      </c>
      <c r="W788">
        <f t="shared" si="87"/>
        <v>665.69100000000071</v>
      </c>
      <c r="X788">
        <f t="shared" si="88"/>
        <v>3</v>
      </c>
      <c r="Y788" cm="1">
        <f t="array" ref="Y788">_xlfn.IFS(H788=0.1,1,H788=0.15,1,H788=0.05,1,H788=0,0)</f>
        <v>1</v>
      </c>
      <c r="Z788">
        <f t="shared" si="89"/>
        <v>13</v>
      </c>
      <c r="AA788">
        <f t="shared" si="90"/>
        <v>2025</v>
      </c>
    </row>
    <row r="789" spans="1:27" x14ac:dyDescent="0.3">
      <c r="A789" s="2">
        <v>45752</v>
      </c>
      <c r="B789" t="s">
        <v>71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68</v>
      </c>
      <c r="J789">
        <v>4312.5344999999998</v>
      </c>
      <c r="K789" t="s">
        <v>24</v>
      </c>
      <c r="L789" t="s">
        <v>35</v>
      </c>
      <c r="M789">
        <v>1</v>
      </c>
      <c r="N789" t="s">
        <v>1598</v>
      </c>
      <c r="O789" t="s">
        <v>1599</v>
      </c>
      <c r="P789">
        <v>35.82</v>
      </c>
      <c r="Q789" s="2">
        <v>45752</v>
      </c>
      <c r="R789" s="2">
        <v>45760</v>
      </c>
      <c r="S789" t="s">
        <v>74</v>
      </c>
      <c r="T789">
        <f t="shared" si="84"/>
        <v>4349.3544999999995</v>
      </c>
      <c r="U789">
        <f t="shared" si="85"/>
        <v>15</v>
      </c>
      <c r="V789">
        <f t="shared" si="86"/>
        <v>5073.57</v>
      </c>
      <c r="W789">
        <f t="shared" si="87"/>
        <v>761.03549999999996</v>
      </c>
      <c r="X789">
        <f t="shared" si="88"/>
        <v>8</v>
      </c>
      <c r="Y789" cm="1">
        <f t="array" ref="Y789">_xlfn.IFS(H789=0.1,1,H789=0.15,1,H789=0.05,1,H789=0,0)</f>
        <v>1</v>
      </c>
      <c r="Z789">
        <f t="shared" si="89"/>
        <v>19</v>
      </c>
      <c r="AA789">
        <f t="shared" si="90"/>
        <v>2025</v>
      </c>
    </row>
    <row r="790" spans="1:27" x14ac:dyDescent="0.3">
      <c r="A790" s="2">
        <v>45356</v>
      </c>
      <c r="B790" t="s">
        <v>29</v>
      </c>
      <c r="C790" t="s">
        <v>132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543.82999999999993</v>
      </c>
      <c r="K790" t="s">
        <v>58</v>
      </c>
      <c r="L790" t="s">
        <v>35</v>
      </c>
      <c r="M790">
        <v>0</v>
      </c>
      <c r="N790" t="s">
        <v>1600</v>
      </c>
      <c r="O790" t="s">
        <v>1601</v>
      </c>
      <c r="P790">
        <v>41.89</v>
      </c>
      <c r="Q790" s="2">
        <v>45356</v>
      </c>
      <c r="R790" s="2">
        <v>45363</v>
      </c>
      <c r="S790" t="s">
        <v>38</v>
      </c>
      <c r="T790">
        <f t="shared" si="84"/>
        <v>585.71999999999991</v>
      </c>
      <c r="U790">
        <f t="shared" si="85"/>
        <v>0</v>
      </c>
      <c r="V790">
        <f t="shared" si="86"/>
        <v>543.82999999999993</v>
      </c>
      <c r="W790">
        <f t="shared" si="87"/>
        <v>0</v>
      </c>
      <c r="X790">
        <f t="shared" si="88"/>
        <v>7</v>
      </c>
      <c r="Y790" cm="1">
        <f t="array" ref="Y790">_xlfn.IFS(H790=0.1,1,H790=0.15,1,H790=0.05,1,H790=0,0)</f>
        <v>0</v>
      </c>
      <c r="Z790">
        <f t="shared" si="89"/>
        <v>0</v>
      </c>
      <c r="AA790">
        <f t="shared" si="90"/>
        <v>2024</v>
      </c>
    </row>
    <row r="791" spans="1:27" x14ac:dyDescent="0.3">
      <c r="A791" s="2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1602</v>
      </c>
      <c r="O791" t="s">
        <v>1603</v>
      </c>
      <c r="P791">
        <v>28.11</v>
      </c>
      <c r="Q791" s="2">
        <v>45360</v>
      </c>
      <c r="R791" s="2">
        <v>45362</v>
      </c>
      <c r="S791" t="s">
        <v>28</v>
      </c>
      <c r="T791">
        <f t="shared" si="84"/>
        <v>6276.71</v>
      </c>
      <c r="U791">
        <f t="shared" si="85"/>
        <v>0</v>
      </c>
      <c r="V791">
        <f t="shared" si="86"/>
        <v>6248.6</v>
      </c>
      <c r="W791">
        <f t="shared" si="87"/>
        <v>0</v>
      </c>
      <c r="X791">
        <f t="shared" si="88"/>
        <v>2</v>
      </c>
      <c r="Y791" cm="1">
        <f t="array" ref="Y791">_xlfn.IFS(H791=0.1,1,H791=0.15,1,H791=0.05,1,H791=0,0)</f>
        <v>0</v>
      </c>
      <c r="Z791">
        <f t="shared" si="89"/>
        <v>0</v>
      </c>
      <c r="AA791">
        <f t="shared" si="90"/>
        <v>2024</v>
      </c>
    </row>
    <row r="792" spans="1:27" x14ac:dyDescent="0.3">
      <c r="A792" s="2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65</v>
      </c>
      <c r="L792" t="s">
        <v>25</v>
      </c>
      <c r="M792">
        <v>0</v>
      </c>
      <c r="N792" t="s">
        <v>1604</v>
      </c>
      <c r="O792" t="s">
        <v>1605</v>
      </c>
      <c r="P792">
        <v>37.840000000000003</v>
      </c>
      <c r="Q792" s="2">
        <v>45713</v>
      </c>
      <c r="R792" s="2">
        <v>45716</v>
      </c>
      <c r="S792" t="s">
        <v>50</v>
      </c>
      <c r="T792">
        <f t="shared" si="84"/>
        <v>292.34500000000003</v>
      </c>
      <c r="U792">
        <f t="shared" si="85"/>
        <v>5</v>
      </c>
      <c r="V792">
        <f t="shared" si="86"/>
        <v>267.89999999999998</v>
      </c>
      <c r="W792">
        <f t="shared" si="87"/>
        <v>13.394999999999982</v>
      </c>
      <c r="X792">
        <f t="shared" si="88"/>
        <v>3</v>
      </c>
      <c r="Y792" cm="1">
        <f t="array" ref="Y792">_xlfn.IFS(H792=0.1,1,H792=0.15,1,H792=0.05,1,H792=0,0)</f>
        <v>1</v>
      </c>
      <c r="Z792">
        <f t="shared" si="89"/>
        <v>19</v>
      </c>
      <c r="AA792">
        <f t="shared" si="90"/>
        <v>2025</v>
      </c>
    </row>
    <row r="793" spans="1:27" x14ac:dyDescent="0.3">
      <c r="A793" s="2">
        <v>45612</v>
      </c>
      <c r="B793" t="s">
        <v>71</v>
      </c>
      <c r="C793" t="s">
        <v>81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4309.3044999999993</v>
      </c>
      <c r="K793" t="s">
        <v>58</v>
      </c>
      <c r="L793" t="s">
        <v>41</v>
      </c>
      <c r="M793">
        <v>0</v>
      </c>
      <c r="N793" t="s">
        <v>1606</v>
      </c>
      <c r="O793" t="s">
        <v>1607</v>
      </c>
      <c r="P793">
        <v>32.520000000000003</v>
      </c>
      <c r="Q793" s="2">
        <v>45612</v>
      </c>
      <c r="R793" s="2">
        <v>45619</v>
      </c>
      <c r="S793" t="s">
        <v>74</v>
      </c>
      <c r="T793">
        <f t="shared" si="84"/>
        <v>4341.8244999999997</v>
      </c>
      <c r="U793">
        <f t="shared" si="85"/>
        <v>5</v>
      </c>
      <c r="V793">
        <f t="shared" si="86"/>
        <v>4536.1099999999997</v>
      </c>
      <c r="W793">
        <f t="shared" si="87"/>
        <v>226.80550000000039</v>
      </c>
      <c r="X793">
        <f t="shared" si="88"/>
        <v>7</v>
      </c>
      <c r="Y793" cm="1">
        <f t="array" ref="Y793">_xlfn.IFS(H793=0.1,1,H793=0.15,1,H793=0.05,1,H793=0,0)</f>
        <v>1</v>
      </c>
      <c r="Z793">
        <f t="shared" si="89"/>
        <v>17</v>
      </c>
      <c r="AA793">
        <f t="shared" si="90"/>
        <v>2024</v>
      </c>
    </row>
    <row r="794" spans="1:27" x14ac:dyDescent="0.3">
      <c r="A794" s="2">
        <v>45505</v>
      </c>
      <c r="B794" t="s">
        <v>29</v>
      </c>
      <c r="C794" t="s">
        <v>132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1608</v>
      </c>
      <c r="O794" t="s">
        <v>1609</v>
      </c>
      <c r="P794">
        <v>22.96</v>
      </c>
      <c r="Q794" s="2">
        <v>45505</v>
      </c>
      <c r="R794" s="2">
        <v>45510</v>
      </c>
      <c r="S794" t="s">
        <v>38</v>
      </c>
      <c r="T794">
        <f t="shared" si="84"/>
        <v>4737.05</v>
      </c>
      <c r="U794">
        <f t="shared" si="85"/>
        <v>5</v>
      </c>
      <c r="V794">
        <f t="shared" si="86"/>
        <v>4962.2000000000007</v>
      </c>
      <c r="W794">
        <f t="shared" si="87"/>
        <v>248.11000000000058</v>
      </c>
      <c r="X794">
        <f t="shared" si="88"/>
        <v>5</v>
      </c>
      <c r="Y794" cm="1">
        <f t="array" ref="Y794">_xlfn.IFS(H794=0.1,1,H794=0.15,1,H794=0.05,1,H794=0,0)</f>
        <v>1</v>
      </c>
      <c r="Z794">
        <f t="shared" si="89"/>
        <v>20</v>
      </c>
      <c r="AA794">
        <f t="shared" si="90"/>
        <v>2024</v>
      </c>
    </row>
    <row r="795" spans="1:27" x14ac:dyDescent="0.3">
      <c r="A795" s="2">
        <v>45402</v>
      </c>
      <c r="B795" t="s">
        <v>71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1610</v>
      </c>
      <c r="O795" t="s">
        <v>1305</v>
      </c>
      <c r="P795">
        <v>12.7</v>
      </c>
      <c r="Q795" s="2">
        <v>45402</v>
      </c>
      <c r="R795" s="2">
        <v>45412</v>
      </c>
      <c r="S795" t="s">
        <v>74</v>
      </c>
      <c r="T795">
        <f t="shared" si="84"/>
        <v>1518.31</v>
      </c>
      <c r="U795">
        <f t="shared" si="85"/>
        <v>5</v>
      </c>
      <c r="V795">
        <f t="shared" si="86"/>
        <v>1583.8</v>
      </c>
      <c r="W795">
        <f t="shared" si="87"/>
        <v>79.190000000000055</v>
      </c>
      <c r="X795">
        <f t="shared" si="88"/>
        <v>10</v>
      </c>
      <c r="Y795" cm="1">
        <f t="array" ref="Y795">_xlfn.IFS(H795=0.1,1,H795=0.15,1,H795=0.05,1,H795=0,0)</f>
        <v>1</v>
      </c>
      <c r="Z795">
        <f t="shared" si="89"/>
        <v>5</v>
      </c>
      <c r="AA795">
        <f t="shared" si="90"/>
        <v>2024</v>
      </c>
    </row>
    <row r="796" spans="1:27" x14ac:dyDescent="0.3">
      <c r="A796" s="2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62</v>
      </c>
      <c r="L796" t="s">
        <v>59</v>
      </c>
      <c r="M796">
        <v>0</v>
      </c>
      <c r="N796" t="s">
        <v>1611</v>
      </c>
      <c r="O796" t="s">
        <v>1612</v>
      </c>
      <c r="P796">
        <v>45.41</v>
      </c>
      <c r="Q796" s="2">
        <v>45402</v>
      </c>
      <c r="R796" s="2">
        <v>45407</v>
      </c>
      <c r="S796" t="s">
        <v>38</v>
      </c>
      <c r="T796">
        <f t="shared" si="84"/>
        <v>350.726</v>
      </c>
      <c r="U796">
        <f t="shared" si="85"/>
        <v>10</v>
      </c>
      <c r="V796">
        <f t="shared" si="86"/>
        <v>339.24</v>
      </c>
      <c r="W796">
        <f t="shared" si="87"/>
        <v>33.924000000000035</v>
      </c>
      <c r="X796">
        <f t="shared" si="88"/>
        <v>5</v>
      </c>
      <c r="Y796" cm="1">
        <f t="array" ref="Y796">_xlfn.IFS(H796=0.1,1,H796=0.15,1,H796=0.05,1,H796=0,0)</f>
        <v>1</v>
      </c>
      <c r="Z796">
        <f t="shared" si="89"/>
        <v>2</v>
      </c>
      <c r="AA796">
        <f t="shared" si="90"/>
        <v>2024</v>
      </c>
    </row>
    <row r="797" spans="1:27" x14ac:dyDescent="0.3">
      <c r="A797" s="2">
        <v>45191</v>
      </c>
      <c r="B797" t="s">
        <v>39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571.38700000000006</v>
      </c>
      <c r="K797" t="s">
        <v>24</v>
      </c>
      <c r="L797" t="s">
        <v>35</v>
      </c>
      <c r="M797">
        <v>0</v>
      </c>
      <c r="N797" t="s">
        <v>1613</v>
      </c>
      <c r="O797" t="s">
        <v>1614</v>
      </c>
      <c r="P797">
        <v>7.06</v>
      </c>
      <c r="Q797" s="2">
        <v>45191</v>
      </c>
      <c r="R797" s="2">
        <v>45197</v>
      </c>
      <c r="S797" t="s">
        <v>44</v>
      </c>
      <c r="T797">
        <f t="shared" si="84"/>
        <v>578.447</v>
      </c>
      <c r="U797">
        <f t="shared" si="85"/>
        <v>15</v>
      </c>
      <c r="V797">
        <f t="shared" si="86"/>
        <v>672.22</v>
      </c>
      <c r="W797">
        <f t="shared" si="87"/>
        <v>100.83299999999997</v>
      </c>
      <c r="X797">
        <f t="shared" si="88"/>
        <v>6</v>
      </c>
      <c r="Y797" cm="1">
        <f t="array" ref="Y797">_xlfn.IFS(H797=0.1,1,H797=0.15,1,H797=0.05,1,H797=0,0)</f>
        <v>1</v>
      </c>
      <c r="Z797">
        <f t="shared" si="89"/>
        <v>19</v>
      </c>
      <c r="AA797">
        <f t="shared" si="90"/>
        <v>2023</v>
      </c>
    </row>
    <row r="798" spans="1:27" x14ac:dyDescent="0.3">
      <c r="A798" s="2">
        <v>45709</v>
      </c>
      <c r="B798" t="s">
        <v>71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713.01600000000008</v>
      </c>
      <c r="K798" t="s">
        <v>24</v>
      </c>
      <c r="L798" t="s">
        <v>59</v>
      </c>
      <c r="M798">
        <v>0</v>
      </c>
      <c r="N798" t="s">
        <v>1615</v>
      </c>
      <c r="O798" t="s">
        <v>1616</v>
      </c>
      <c r="P798">
        <v>25.39</v>
      </c>
      <c r="Q798" s="2">
        <v>45709</v>
      </c>
      <c r="R798" s="2">
        <v>45718</v>
      </c>
      <c r="S798" t="s">
        <v>74</v>
      </c>
      <c r="T798">
        <f t="shared" si="84"/>
        <v>738.40600000000006</v>
      </c>
      <c r="U798">
        <f t="shared" si="85"/>
        <v>10</v>
      </c>
      <c r="V798">
        <f t="shared" si="86"/>
        <v>792.24</v>
      </c>
      <c r="W798">
        <f t="shared" si="87"/>
        <v>79.223999999999933</v>
      </c>
      <c r="X798">
        <f t="shared" si="88"/>
        <v>9</v>
      </c>
      <c r="Y798" cm="1">
        <f t="array" ref="Y798">_xlfn.IFS(H798=0.1,1,H798=0.15,1,H798=0.05,1,H798=0,0)</f>
        <v>1</v>
      </c>
      <c r="Z798">
        <f t="shared" si="89"/>
        <v>3</v>
      </c>
      <c r="AA798">
        <f t="shared" si="90"/>
        <v>2025</v>
      </c>
    </row>
    <row r="799" spans="1:27" x14ac:dyDescent="0.3">
      <c r="A799" s="2">
        <v>45832</v>
      </c>
      <c r="B799" t="s">
        <v>19</v>
      </c>
      <c r="C799" t="s">
        <v>81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62</v>
      </c>
      <c r="L799" t="s">
        <v>35</v>
      </c>
      <c r="M799">
        <v>0</v>
      </c>
      <c r="N799" t="s">
        <v>1617</v>
      </c>
      <c r="O799" t="s">
        <v>266</v>
      </c>
      <c r="P799">
        <v>6.45</v>
      </c>
      <c r="Q799" s="2">
        <v>45832</v>
      </c>
      <c r="R799" s="2">
        <v>45839</v>
      </c>
      <c r="S799" t="s">
        <v>28</v>
      </c>
      <c r="T799">
        <f t="shared" si="84"/>
        <v>591.08000000000004</v>
      </c>
      <c r="U799">
        <f t="shared" si="85"/>
        <v>15</v>
      </c>
      <c r="V799">
        <f t="shared" si="86"/>
        <v>687.8</v>
      </c>
      <c r="W799">
        <f t="shared" si="87"/>
        <v>103.16999999999996</v>
      </c>
      <c r="X799">
        <f t="shared" si="88"/>
        <v>7</v>
      </c>
      <c r="Y799" cm="1">
        <f t="array" ref="Y799">_xlfn.IFS(H799=0.1,1,H799=0.15,1,H799=0.05,1,H799=0,0)</f>
        <v>1</v>
      </c>
      <c r="Z799">
        <f t="shared" si="89"/>
        <v>5</v>
      </c>
      <c r="AA799">
        <f t="shared" si="90"/>
        <v>2025</v>
      </c>
    </row>
    <row r="800" spans="1:27" x14ac:dyDescent="0.3">
      <c r="A800" s="2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1618</v>
      </c>
      <c r="O800" t="s">
        <v>1619</v>
      </c>
      <c r="P800">
        <v>6.31</v>
      </c>
      <c r="Q800" s="2">
        <v>45258</v>
      </c>
      <c r="R800" s="2">
        <v>45265</v>
      </c>
      <c r="S800" t="s">
        <v>50</v>
      </c>
      <c r="T800">
        <f t="shared" si="84"/>
        <v>1080.2339999999999</v>
      </c>
      <c r="U800">
        <f t="shared" si="85"/>
        <v>15</v>
      </c>
      <c r="V800">
        <f t="shared" si="86"/>
        <v>1263.44</v>
      </c>
      <c r="W800">
        <f t="shared" si="87"/>
        <v>189.51600000000008</v>
      </c>
      <c r="X800">
        <f t="shared" si="88"/>
        <v>7</v>
      </c>
      <c r="Y800" cm="1">
        <f t="array" ref="Y800">_xlfn.IFS(H800=0.1,1,H800=0.15,1,H800=0.05,1,H800=0,0)</f>
        <v>1</v>
      </c>
      <c r="Z800">
        <f t="shared" si="89"/>
        <v>8</v>
      </c>
      <c r="AA800">
        <f t="shared" si="90"/>
        <v>2023</v>
      </c>
    </row>
    <row r="801" spans="1:27" x14ac:dyDescent="0.3">
      <c r="A801" s="2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62</v>
      </c>
      <c r="L801" t="s">
        <v>25</v>
      </c>
      <c r="M801">
        <v>0</v>
      </c>
      <c r="N801" t="s">
        <v>1620</v>
      </c>
      <c r="O801" t="s">
        <v>1621</v>
      </c>
      <c r="P801">
        <v>35.49</v>
      </c>
      <c r="Q801" s="2">
        <v>45390</v>
      </c>
      <c r="R801" s="2">
        <v>45399</v>
      </c>
      <c r="S801" t="s">
        <v>44</v>
      </c>
      <c r="T801">
        <f t="shared" si="84"/>
        <v>758.59199999999998</v>
      </c>
      <c r="U801">
        <f t="shared" si="85"/>
        <v>5</v>
      </c>
      <c r="V801">
        <f t="shared" si="86"/>
        <v>761.16</v>
      </c>
      <c r="W801">
        <f t="shared" si="87"/>
        <v>38.057999999999993</v>
      </c>
      <c r="X801">
        <f t="shared" si="88"/>
        <v>9</v>
      </c>
      <c r="Y801" cm="1">
        <f t="array" ref="Y801">_xlfn.IFS(H801=0.1,1,H801=0.15,1,H801=0.05,1,H801=0,0)</f>
        <v>1</v>
      </c>
      <c r="Z801">
        <f t="shared" si="89"/>
        <v>6</v>
      </c>
      <c r="AA801">
        <f t="shared" si="90"/>
        <v>2024</v>
      </c>
    </row>
    <row r="802" spans="1:27" x14ac:dyDescent="0.3">
      <c r="A802" s="2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1622</v>
      </c>
      <c r="O802" t="s">
        <v>1426</v>
      </c>
      <c r="P802">
        <v>14.31</v>
      </c>
      <c r="Q802" s="2">
        <v>45664</v>
      </c>
      <c r="R802" s="2">
        <v>45671</v>
      </c>
      <c r="S802" t="s">
        <v>44</v>
      </c>
      <c r="T802">
        <f t="shared" si="84"/>
        <v>3435.0225</v>
      </c>
      <c r="U802">
        <f t="shared" si="85"/>
        <v>5</v>
      </c>
      <c r="V802">
        <f t="shared" si="86"/>
        <v>3600.75</v>
      </c>
      <c r="W802">
        <f t="shared" si="87"/>
        <v>180.03749999999991</v>
      </c>
      <c r="X802">
        <f t="shared" si="88"/>
        <v>7</v>
      </c>
      <c r="Y802" cm="1">
        <f t="array" ref="Y802">_xlfn.IFS(H802=0.1,1,H802=0.15,1,H802=0.05,1,H802=0,0)</f>
        <v>1</v>
      </c>
      <c r="Z802">
        <f t="shared" si="89"/>
        <v>15</v>
      </c>
      <c r="AA802">
        <f t="shared" si="90"/>
        <v>2025</v>
      </c>
    </row>
    <row r="803" spans="1:27" x14ac:dyDescent="0.3">
      <c r="A803" s="2">
        <v>44981</v>
      </c>
      <c r="B803" t="s">
        <v>29</v>
      </c>
      <c r="C803" t="s">
        <v>81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62</v>
      </c>
      <c r="L803" t="s">
        <v>25</v>
      </c>
      <c r="M803">
        <v>0</v>
      </c>
      <c r="N803" t="s">
        <v>1623</v>
      </c>
      <c r="O803" t="s">
        <v>1624</v>
      </c>
      <c r="P803">
        <v>43.7</v>
      </c>
      <c r="Q803" s="2">
        <v>44981</v>
      </c>
      <c r="R803" s="2">
        <v>44988</v>
      </c>
      <c r="S803" t="s">
        <v>38</v>
      </c>
      <c r="T803">
        <f t="shared" si="84"/>
        <v>145.30099999999999</v>
      </c>
      <c r="U803">
        <f t="shared" si="85"/>
        <v>10</v>
      </c>
      <c r="V803">
        <f t="shared" si="86"/>
        <v>112.89000000000001</v>
      </c>
      <c r="W803">
        <f t="shared" si="87"/>
        <v>11.289000000000016</v>
      </c>
      <c r="X803">
        <f t="shared" si="88"/>
        <v>7</v>
      </c>
      <c r="Y803" cm="1">
        <f t="array" ref="Y803">_xlfn.IFS(H803=0.1,1,H803=0.15,1,H803=0.05,1,H803=0,0)</f>
        <v>1</v>
      </c>
      <c r="Z803">
        <f t="shared" si="89"/>
        <v>3</v>
      </c>
      <c r="AA803">
        <f t="shared" si="90"/>
        <v>2023</v>
      </c>
    </row>
    <row r="804" spans="1:27" x14ac:dyDescent="0.3">
      <c r="A804" s="2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L804" t="s">
        <v>59</v>
      </c>
      <c r="M804">
        <v>0</v>
      </c>
      <c r="N804" t="s">
        <v>1625</v>
      </c>
      <c r="O804" t="s">
        <v>67</v>
      </c>
      <c r="P804">
        <v>12.64</v>
      </c>
      <c r="Q804" s="2">
        <v>45218</v>
      </c>
      <c r="R804" s="2">
        <v>45225</v>
      </c>
      <c r="S804" t="s">
        <v>28</v>
      </c>
      <c r="T804">
        <f t="shared" si="84"/>
        <v>4611.9100000000008</v>
      </c>
      <c r="U804">
        <f t="shared" si="85"/>
        <v>10</v>
      </c>
      <c r="V804">
        <f t="shared" si="86"/>
        <v>5110.3</v>
      </c>
      <c r="W804">
        <f t="shared" si="87"/>
        <v>511.02999999999975</v>
      </c>
      <c r="X804">
        <f t="shared" si="88"/>
        <v>7</v>
      </c>
      <c r="Y804" cm="1">
        <f t="array" ref="Y804">_xlfn.IFS(H804=0.1,1,H804=0.15,1,H804=0.05,1,H804=0,0)</f>
        <v>1</v>
      </c>
      <c r="Z804">
        <f t="shared" si="89"/>
        <v>13</v>
      </c>
      <c r="AA804">
        <f t="shared" si="90"/>
        <v>2023</v>
      </c>
    </row>
    <row r="805" spans="1:27" x14ac:dyDescent="0.3">
      <c r="A805" s="2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L805" t="s">
        <v>59</v>
      </c>
      <c r="M805">
        <v>0</v>
      </c>
      <c r="N805" t="s">
        <v>1626</v>
      </c>
      <c r="O805" t="s">
        <v>1627</v>
      </c>
      <c r="P805">
        <v>41.11</v>
      </c>
      <c r="Q805" s="2">
        <v>45460</v>
      </c>
      <c r="R805" s="2">
        <v>45464</v>
      </c>
      <c r="S805" t="s">
        <v>44</v>
      </c>
      <c r="T805">
        <f t="shared" si="84"/>
        <v>753.92</v>
      </c>
      <c r="U805">
        <f t="shared" si="85"/>
        <v>15</v>
      </c>
      <c r="V805">
        <f t="shared" si="86"/>
        <v>838.6</v>
      </c>
      <c r="W805">
        <f t="shared" si="87"/>
        <v>125.79000000000008</v>
      </c>
      <c r="X805">
        <f t="shared" si="88"/>
        <v>4</v>
      </c>
      <c r="Y805" cm="1">
        <f t="array" ref="Y805">_xlfn.IFS(H805=0.1,1,H805=0.15,1,H805=0.05,1,H805=0,0)</f>
        <v>1</v>
      </c>
      <c r="Z805">
        <f t="shared" si="89"/>
        <v>10</v>
      </c>
      <c r="AA805">
        <f t="shared" si="90"/>
        <v>2024</v>
      </c>
    </row>
    <row r="806" spans="1:27" x14ac:dyDescent="0.3">
      <c r="A806" s="2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L806" t="s">
        <v>59</v>
      </c>
      <c r="M806">
        <v>0</v>
      </c>
      <c r="N806" t="s">
        <v>1628</v>
      </c>
      <c r="O806" t="s">
        <v>1629</v>
      </c>
      <c r="P806">
        <v>18.47</v>
      </c>
      <c r="Q806" s="2">
        <v>45098</v>
      </c>
      <c r="R806" s="2">
        <v>45106</v>
      </c>
      <c r="S806" t="s">
        <v>50</v>
      </c>
      <c r="T806">
        <f t="shared" si="84"/>
        <v>1119.17</v>
      </c>
      <c r="U806">
        <f t="shared" si="85"/>
        <v>0</v>
      </c>
      <c r="V806">
        <f t="shared" si="86"/>
        <v>1100.6999999999998</v>
      </c>
      <c r="W806">
        <f t="shared" si="87"/>
        <v>0</v>
      </c>
      <c r="X806">
        <f t="shared" si="88"/>
        <v>8</v>
      </c>
      <c r="Y806" cm="1">
        <f t="array" ref="Y806">_xlfn.IFS(H806=0.1,1,H806=0.15,1,H806=0.05,1,H806=0,0)</f>
        <v>0</v>
      </c>
      <c r="Z806">
        <f t="shared" si="89"/>
        <v>0</v>
      </c>
      <c r="AA806">
        <f t="shared" si="90"/>
        <v>2023</v>
      </c>
    </row>
    <row r="807" spans="1:27" x14ac:dyDescent="0.3">
      <c r="A807" s="2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L807" t="s">
        <v>59</v>
      </c>
      <c r="M807">
        <v>0</v>
      </c>
      <c r="N807" t="s">
        <v>1630</v>
      </c>
      <c r="O807" t="s">
        <v>1631</v>
      </c>
      <c r="P807">
        <v>38.630000000000003</v>
      </c>
      <c r="Q807" s="2">
        <v>45534</v>
      </c>
      <c r="R807" s="2">
        <v>45537</v>
      </c>
      <c r="S807" t="s">
        <v>28</v>
      </c>
      <c r="T807">
        <f t="shared" si="84"/>
        <v>1512.4280000000001</v>
      </c>
      <c r="U807">
        <f t="shared" si="85"/>
        <v>15</v>
      </c>
      <c r="V807">
        <f t="shared" si="86"/>
        <v>1733.88</v>
      </c>
      <c r="W807">
        <f t="shared" si="87"/>
        <v>260.08200000000011</v>
      </c>
      <c r="X807">
        <f t="shared" si="88"/>
        <v>3</v>
      </c>
      <c r="Y807" cm="1">
        <f t="array" ref="Y807">_xlfn.IFS(H807=0.1,1,H807=0.15,1,H807=0.05,1,H807=0,0)</f>
        <v>1</v>
      </c>
      <c r="Z807">
        <f t="shared" si="89"/>
        <v>6</v>
      </c>
      <c r="AA807">
        <f t="shared" si="90"/>
        <v>2024</v>
      </c>
    </row>
    <row r="808" spans="1:27" x14ac:dyDescent="0.3">
      <c r="A808" s="2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68</v>
      </c>
      <c r="J808">
        <v>4511.3999999999996</v>
      </c>
      <c r="K808" t="s">
        <v>34</v>
      </c>
      <c r="L808" t="s">
        <v>25</v>
      </c>
      <c r="M808">
        <v>0</v>
      </c>
      <c r="N808" t="s">
        <v>1632</v>
      </c>
      <c r="O808" t="s">
        <v>1633</v>
      </c>
      <c r="P808">
        <v>29.96</v>
      </c>
      <c r="Q808" s="2">
        <v>45660</v>
      </c>
      <c r="R808" s="2">
        <v>45670</v>
      </c>
      <c r="S808" t="s">
        <v>50</v>
      </c>
      <c r="T808">
        <f t="shared" si="84"/>
        <v>4541.3599999999997</v>
      </c>
      <c r="U808">
        <f t="shared" si="85"/>
        <v>0</v>
      </c>
      <c r="V808">
        <f t="shared" si="86"/>
        <v>4511.3999999999996</v>
      </c>
      <c r="W808">
        <f t="shared" si="87"/>
        <v>0</v>
      </c>
      <c r="X808">
        <f t="shared" si="88"/>
        <v>10</v>
      </c>
      <c r="Y808" cm="1">
        <f t="array" ref="Y808">_xlfn.IFS(H808=0.1,1,H808=0.15,1,H808=0.05,1,H808=0,0)</f>
        <v>0</v>
      </c>
      <c r="Z808">
        <f t="shared" si="89"/>
        <v>0</v>
      </c>
      <c r="AA808">
        <f t="shared" si="90"/>
        <v>2025</v>
      </c>
    </row>
    <row r="809" spans="1:27" x14ac:dyDescent="0.3">
      <c r="A809" s="2">
        <v>44980</v>
      </c>
      <c r="B809" t="s">
        <v>71</v>
      </c>
      <c r="C809" t="s">
        <v>132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1634</v>
      </c>
      <c r="O809" t="s">
        <v>887</v>
      </c>
      <c r="P809">
        <v>37.53</v>
      </c>
      <c r="Q809" s="2">
        <v>44980</v>
      </c>
      <c r="R809" s="2">
        <v>44987</v>
      </c>
      <c r="S809" t="s">
        <v>74</v>
      </c>
      <c r="T809">
        <f t="shared" si="84"/>
        <v>8182.8099999999995</v>
      </c>
      <c r="U809">
        <f t="shared" si="85"/>
        <v>0</v>
      </c>
      <c r="V809">
        <f t="shared" si="86"/>
        <v>8145.28</v>
      </c>
      <c r="W809">
        <f t="shared" si="87"/>
        <v>0</v>
      </c>
      <c r="X809">
        <f t="shared" si="88"/>
        <v>7</v>
      </c>
      <c r="Y809" cm="1">
        <f t="array" ref="Y809">_xlfn.IFS(H809=0.1,1,H809=0.15,1,H809=0.05,1,H809=0,0)</f>
        <v>0</v>
      </c>
      <c r="Z809">
        <f t="shared" si="89"/>
        <v>0</v>
      </c>
      <c r="AA809">
        <f t="shared" si="90"/>
        <v>2023</v>
      </c>
    </row>
    <row r="810" spans="1:27" x14ac:dyDescent="0.3">
      <c r="A810" s="2">
        <v>45773</v>
      </c>
      <c r="B810" t="s">
        <v>45</v>
      </c>
      <c r="C810" t="s">
        <v>132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65</v>
      </c>
      <c r="L810" t="s">
        <v>41</v>
      </c>
      <c r="M810">
        <v>0</v>
      </c>
      <c r="N810" t="s">
        <v>1635</v>
      </c>
      <c r="O810" t="s">
        <v>1636</v>
      </c>
      <c r="P810">
        <v>44.26</v>
      </c>
      <c r="Q810" s="2">
        <v>45773</v>
      </c>
      <c r="R810" s="2">
        <v>45776</v>
      </c>
      <c r="S810" t="s">
        <v>50</v>
      </c>
      <c r="T810">
        <f t="shared" si="84"/>
        <v>2258.634</v>
      </c>
      <c r="U810">
        <f t="shared" si="85"/>
        <v>5</v>
      </c>
      <c r="V810">
        <f t="shared" si="86"/>
        <v>2330.92</v>
      </c>
      <c r="W810">
        <f t="shared" si="87"/>
        <v>116.54600000000028</v>
      </c>
      <c r="X810">
        <f t="shared" si="88"/>
        <v>3</v>
      </c>
      <c r="Y810" cm="1">
        <f t="array" ref="Y810">_xlfn.IFS(H810=0.1,1,H810=0.15,1,H810=0.05,1,H810=0,0)</f>
        <v>1</v>
      </c>
      <c r="Z810">
        <f t="shared" si="89"/>
        <v>4</v>
      </c>
      <c r="AA810">
        <f t="shared" si="90"/>
        <v>2025</v>
      </c>
    </row>
    <row r="811" spans="1:27" x14ac:dyDescent="0.3">
      <c r="A811" s="2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1637</v>
      </c>
      <c r="O811" t="s">
        <v>1638</v>
      </c>
      <c r="P811">
        <v>8.2799999999999994</v>
      </c>
      <c r="Q811" s="2">
        <v>45085</v>
      </c>
      <c r="R811" s="2">
        <v>45091</v>
      </c>
      <c r="S811" t="s">
        <v>38</v>
      </c>
      <c r="T811">
        <f t="shared" si="84"/>
        <v>1045.44</v>
      </c>
      <c r="U811">
        <f t="shared" si="85"/>
        <v>0</v>
      </c>
      <c r="V811">
        <f t="shared" si="86"/>
        <v>1037.1599999999999</v>
      </c>
      <c r="W811">
        <f t="shared" si="87"/>
        <v>0</v>
      </c>
      <c r="X811">
        <f t="shared" si="88"/>
        <v>6</v>
      </c>
      <c r="Y811" cm="1">
        <f t="array" ref="Y811">_xlfn.IFS(H811=0.1,1,H811=0.15,1,H811=0.05,1,H811=0,0)</f>
        <v>0</v>
      </c>
      <c r="Z811">
        <f t="shared" si="89"/>
        <v>0</v>
      </c>
      <c r="AA811">
        <f t="shared" si="90"/>
        <v>2023</v>
      </c>
    </row>
    <row r="812" spans="1:27" x14ac:dyDescent="0.3">
      <c r="A812" s="2">
        <v>45001</v>
      </c>
      <c r="B812" t="s">
        <v>39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7124.670000000001</v>
      </c>
      <c r="K812" t="s">
        <v>24</v>
      </c>
      <c r="L812" t="s">
        <v>41</v>
      </c>
      <c r="M812">
        <v>0</v>
      </c>
      <c r="N812" t="s">
        <v>1639</v>
      </c>
      <c r="O812" t="s">
        <v>1640</v>
      </c>
      <c r="P812">
        <v>24.4</v>
      </c>
      <c r="Q812" s="2">
        <v>45001</v>
      </c>
      <c r="R812" s="2">
        <v>45010</v>
      </c>
      <c r="S812" t="s">
        <v>44</v>
      </c>
      <c r="T812">
        <f t="shared" si="84"/>
        <v>7149.0700000000006</v>
      </c>
      <c r="U812">
        <f t="shared" si="85"/>
        <v>10</v>
      </c>
      <c r="V812">
        <f t="shared" si="86"/>
        <v>7916.3000000000011</v>
      </c>
      <c r="W812">
        <f t="shared" si="87"/>
        <v>791.63000000000011</v>
      </c>
      <c r="X812">
        <f t="shared" si="88"/>
        <v>9</v>
      </c>
      <c r="Y812" cm="1">
        <f t="array" ref="Y812">_xlfn.IFS(H812=0.1,1,H812=0.15,1,H812=0.05,1,H812=0,0)</f>
        <v>1</v>
      </c>
      <c r="Z812">
        <f t="shared" si="89"/>
        <v>14</v>
      </c>
      <c r="AA812">
        <f t="shared" si="90"/>
        <v>2023</v>
      </c>
    </row>
    <row r="813" spans="1:27" x14ac:dyDescent="0.3">
      <c r="A813" s="2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1641</v>
      </c>
      <c r="O813" t="s">
        <v>1642</v>
      </c>
      <c r="P813">
        <v>16.62</v>
      </c>
      <c r="Q813" s="2">
        <v>45588</v>
      </c>
      <c r="R813" s="2">
        <v>45593</v>
      </c>
      <c r="S813" t="s">
        <v>44</v>
      </c>
      <c r="T813">
        <f t="shared" si="84"/>
        <v>1353.56</v>
      </c>
      <c r="U813">
        <f t="shared" si="85"/>
        <v>0</v>
      </c>
      <c r="V813">
        <f t="shared" si="86"/>
        <v>1336.94</v>
      </c>
      <c r="W813">
        <f t="shared" si="87"/>
        <v>0</v>
      </c>
      <c r="X813">
        <f t="shared" si="88"/>
        <v>5</v>
      </c>
      <c r="Y813" cm="1">
        <f t="array" ref="Y813">_xlfn.IFS(H813=0.1,1,H813=0.15,1,H813=0.05,1,H813=0,0)</f>
        <v>0</v>
      </c>
      <c r="Z813">
        <f t="shared" si="89"/>
        <v>0</v>
      </c>
      <c r="AA813">
        <f t="shared" si="90"/>
        <v>2024</v>
      </c>
    </row>
    <row r="814" spans="1:27" x14ac:dyDescent="0.3">
      <c r="A814" s="2">
        <v>45800</v>
      </c>
      <c r="B814" t="s">
        <v>19</v>
      </c>
      <c r="C814" t="s">
        <v>132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62</v>
      </c>
      <c r="L814" t="s">
        <v>59</v>
      </c>
      <c r="M814">
        <v>1</v>
      </c>
      <c r="N814" t="s">
        <v>1643</v>
      </c>
      <c r="O814" t="s">
        <v>1644</v>
      </c>
      <c r="P814">
        <v>29.64</v>
      </c>
      <c r="Q814" s="2">
        <v>45800</v>
      </c>
      <c r="R814" s="2">
        <v>45805</v>
      </c>
      <c r="S814" t="s">
        <v>28</v>
      </c>
      <c r="T814">
        <f t="shared" si="84"/>
        <v>1327.855</v>
      </c>
      <c r="U814">
        <f t="shared" si="85"/>
        <v>10</v>
      </c>
      <c r="V814">
        <f t="shared" si="86"/>
        <v>1441.3500000000001</v>
      </c>
      <c r="W814">
        <f t="shared" si="87"/>
        <v>144.13500000000022</v>
      </c>
      <c r="X814">
        <f t="shared" si="88"/>
        <v>5</v>
      </c>
      <c r="Y814" cm="1">
        <f t="array" ref="Y814">_xlfn.IFS(H814=0.1,1,H814=0.15,1,H814=0.05,1,H814=0,0)</f>
        <v>1</v>
      </c>
      <c r="Z814">
        <f t="shared" si="89"/>
        <v>9</v>
      </c>
      <c r="AA814">
        <f t="shared" si="90"/>
        <v>2025</v>
      </c>
    </row>
    <row r="815" spans="1:27" x14ac:dyDescent="0.3">
      <c r="A815" s="2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68</v>
      </c>
      <c r="J815">
        <v>2336.2779999999998</v>
      </c>
      <c r="K815" t="s">
        <v>65</v>
      </c>
      <c r="L815" t="s">
        <v>35</v>
      </c>
      <c r="M815">
        <v>0</v>
      </c>
      <c r="N815" t="s">
        <v>1645</v>
      </c>
      <c r="O815" t="s">
        <v>1646</v>
      </c>
      <c r="P815">
        <v>26.12</v>
      </c>
      <c r="Q815" s="2">
        <v>45052</v>
      </c>
      <c r="R815" s="2">
        <v>45060</v>
      </c>
      <c r="S815" t="s">
        <v>28</v>
      </c>
      <c r="T815">
        <f t="shared" si="84"/>
        <v>2362.3979999999997</v>
      </c>
      <c r="U815">
        <f t="shared" si="85"/>
        <v>5</v>
      </c>
      <c r="V815">
        <f t="shared" si="86"/>
        <v>2459.2399999999998</v>
      </c>
      <c r="W815">
        <f t="shared" si="87"/>
        <v>122.96199999999999</v>
      </c>
      <c r="X815">
        <f t="shared" si="88"/>
        <v>8</v>
      </c>
      <c r="Y815" cm="1">
        <f t="array" ref="Y815">_xlfn.IFS(H815=0.1,1,H815=0.15,1,H815=0.05,1,H815=0,0)</f>
        <v>1</v>
      </c>
      <c r="Z815">
        <f t="shared" si="89"/>
        <v>14</v>
      </c>
      <c r="AA815">
        <f t="shared" si="90"/>
        <v>2023</v>
      </c>
    </row>
    <row r="816" spans="1:27" x14ac:dyDescent="0.3">
      <c r="A816" s="2">
        <v>45519</v>
      </c>
      <c r="B816" t="s">
        <v>29</v>
      </c>
      <c r="C816" t="s">
        <v>81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65</v>
      </c>
      <c r="L816" t="s">
        <v>35</v>
      </c>
      <c r="M816">
        <v>1</v>
      </c>
      <c r="N816" t="s">
        <v>1647</v>
      </c>
      <c r="O816" t="s">
        <v>1648</v>
      </c>
      <c r="P816">
        <v>23.29</v>
      </c>
      <c r="Q816" s="2">
        <v>45519</v>
      </c>
      <c r="R816" s="2">
        <v>45526</v>
      </c>
      <c r="S816" t="s">
        <v>38</v>
      </c>
      <c r="T816">
        <f t="shared" si="84"/>
        <v>1272.5045</v>
      </c>
      <c r="U816">
        <f t="shared" si="85"/>
        <v>5</v>
      </c>
      <c r="V816">
        <f t="shared" si="86"/>
        <v>1313.91</v>
      </c>
      <c r="W816">
        <f t="shared" si="87"/>
        <v>65.695500000000038</v>
      </c>
      <c r="X816">
        <f t="shared" si="88"/>
        <v>7</v>
      </c>
      <c r="Y816" cm="1">
        <f t="array" ref="Y816">_xlfn.IFS(H816=0.1,1,H816=0.15,1,H816=0.05,1,H816=0,0)</f>
        <v>1</v>
      </c>
      <c r="Z816">
        <f t="shared" si="89"/>
        <v>3</v>
      </c>
      <c r="AA816">
        <f t="shared" si="90"/>
        <v>2024</v>
      </c>
    </row>
    <row r="817" spans="1:27" x14ac:dyDescent="0.3">
      <c r="A817" s="2">
        <v>45161</v>
      </c>
      <c r="B817" t="s">
        <v>29</v>
      </c>
      <c r="C817" t="s">
        <v>132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65</v>
      </c>
      <c r="L817" t="s">
        <v>25</v>
      </c>
      <c r="M817">
        <v>0</v>
      </c>
      <c r="N817" t="s">
        <v>1649</v>
      </c>
      <c r="O817" t="s">
        <v>1650</v>
      </c>
      <c r="P817">
        <v>19.170000000000002</v>
      </c>
      <c r="Q817" s="2">
        <v>45161</v>
      </c>
      <c r="R817" s="2">
        <v>45169</v>
      </c>
      <c r="S817" t="s">
        <v>38</v>
      </c>
      <c r="T817">
        <f t="shared" si="84"/>
        <v>4217.3879999999999</v>
      </c>
      <c r="U817">
        <f t="shared" si="85"/>
        <v>15</v>
      </c>
      <c r="V817">
        <f t="shared" si="86"/>
        <v>4939.08</v>
      </c>
      <c r="W817">
        <f t="shared" si="87"/>
        <v>740.86200000000008</v>
      </c>
      <c r="X817">
        <f t="shared" si="88"/>
        <v>8</v>
      </c>
      <c r="Y817" cm="1">
        <f t="array" ref="Y817">_xlfn.IFS(H817=0.1,1,H817=0.15,1,H817=0.05,1,H817=0,0)</f>
        <v>1</v>
      </c>
      <c r="Z817">
        <f t="shared" si="89"/>
        <v>12</v>
      </c>
      <c r="AA817">
        <f t="shared" si="90"/>
        <v>2023</v>
      </c>
    </row>
    <row r="818" spans="1:27" x14ac:dyDescent="0.3">
      <c r="A818" s="2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1651</v>
      </c>
      <c r="O818" t="s">
        <v>1652</v>
      </c>
      <c r="P818">
        <v>21.15</v>
      </c>
      <c r="Q818" s="2">
        <v>45760</v>
      </c>
      <c r="R818" s="2">
        <v>45769</v>
      </c>
      <c r="S818" t="s">
        <v>38</v>
      </c>
      <c r="T818">
        <f t="shared" si="84"/>
        <v>184.44</v>
      </c>
      <c r="U818">
        <f t="shared" si="85"/>
        <v>0</v>
      </c>
      <c r="V818">
        <f t="shared" si="86"/>
        <v>163.29</v>
      </c>
      <c r="W818">
        <f t="shared" si="87"/>
        <v>0</v>
      </c>
      <c r="X818">
        <f t="shared" si="88"/>
        <v>9</v>
      </c>
      <c r="Y818" cm="1">
        <f t="array" ref="Y818">_xlfn.IFS(H818=0.1,1,H818=0.15,1,H818=0.05,1,H818=0,0)</f>
        <v>0</v>
      </c>
      <c r="Z818">
        <f t="shared" si="89"/>
        <v>0</v>
      </c>
      <c r="AA818">
        <f t="shared" si="90"/>
        <v>2025</v>
      </c>
    </row>
    <row r="819" spans="1:27" x14ac:dyDescent="0.3">
      <c r="A819" s="2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L819" t="s">
        <v>59</v>
      </c>
      <c r="M819">
        <v>0</v>
      </c>
      <c r="N819" t="s">
        <v>1653</v>
      </c>
      <c r="O819" t="s">
        <v>1654</v>
      </c>
      <c r="P819">
        <v>45.81</v>
      </c>
      <c r="Q819" s="2">
        <v>45454</v>
      </c>
      <c r="R819" s="2">
        <v>45460</v>
      </c>
      <c r="S819" t="s">
        <v>50</v>
      </c>
      <c r="T819">
        <f t="shared" si="84"/>
        <v>2603.7799999999997</v>
      </c>
      <c r="U819">
        <f t="shared" si="85"/>
        <v>5</v>
      </c>
      <c r="V819">
        <f t="shared" si="86"/>
        <v>2692.6</v>
      </c>
      <c r="W819">
        <f t="shared" si="87"/>
        <v>134.63000000000011</v>
      </c>
      <c r="X819">
        <f t="shared" si="88"/>
        <v>6</v>
      </c>
      <c r="Y819" cm="1">
        <f t="array" ref="Y819">_xlfn.IFS(H819=0.1,1,H819=0.15,1,H819=0.05,1,H819=0,0)</f>
        <v>1</v>
      </c>
      <c r="Z819">
        <f t="shared" si="89"/>
        <v>5</v>
      </c>
      <c r="AA819">
        <f t="shared" si="90"/>
        <v>2024</v>
      </c>
    </row>
    <row r="820" spans="1:27" x14ac:dyDescent="0.3">
      <c r="A820" s="2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L820" t="s">
        <v>59</v>
      </c>
      <c r="M820">
        <v>0</v>
      </c>
      <c r="N820" t="s">
        <v>1655</v>
      </c>
      <c r="O820" t="s">
        <v>1656</v>
      </c>
      <c r="P820">
        <v>21.99</v>
      </c>
      <c r="Q820" s="2">
        <v>45411</v>
      </c>
      <c r="R820" s="2">
        <v>45416</v>
      </c>
      <c r="S820" t="s">
        <v>38</v>
      </c>
      <c r="T820">
        <f t="shared" si="84"/>
        <v>2555.895</v>
      </c>
      <c r="U820">
        <f t="shared" si="85"/>
        <v>10</v>
      </c>
      <c r="V820">
        <f t="shared" si="86"/>
        <v>2815.45</v>
      </c>
      <c r="W820">
        <f t="shared" si="87"/>
        <v>281.54499999999962</v>
      </c>
      <c r="X820">
        <f t="shared" si="88"/>
        <v>5</v>
      </c>
      <c r="Y820" cm="1">
        <f t="array" ref="Y820">_xlfn.IFS(H820=0.1,1,H820=0.15,1,H820=0.05,1,H820=0,0)</f>
        <v>1</v>
      </c>
      <c r="Z820">
        <f t="shared" si="89"/>
        <v>11</v>
      </c>
      <c r="AA820">
        <f t="shared" si="90"/>
        <v>2024</v>
      </c>
    </row>
    <row r="821" spans="1:27" x14ac:dyDescent="0.3">
      <c r="A821" s="2">
        <v>45012</v>
      </c>
      <c r="B821" t="s">
        <v>29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65</v>
      </c>
      <c r="L821" t="s">
        <v>41</v>
      </c>
      <c r="M821">
        <v>0</v>
      </c>
      <c r="N821" t="s">
        <v>1657</v>
      </c>
      <c r="O821" t="s">
        <v>1658</v>
      </c>
      <c r="P821">
        <v>33.15</v>
      </c>
      <c r="Q821" s="2">
        <v>45012</v>
      </c>
      <c r="R821" s="2">
        <v>45020</v>
      </c>
      <c r="S821" t="s">
        <v>38</v>
      </c>
      <c r="T821">
        <f t="shared" si="84"/>
        <v>1861.5360000000001</v>
      </c>
      <c r="U821">
        <f t="shared" si="85"/>
        <v>10</v>
      </c>
      <c r="V821">
        <f t="shared" si="86"/>
        <v>2031.5400000000002</v>
      </c>
      <c r="W821">
        <f t="shared" si="87"/>
        <v>203.15400000000022</v>
      </c>
      <c r="X821">
        <f t="shared" si="88"/>
        <v>8</v>
      </c>
      <c r="Y821" cm="1">
        <f t="array" ref="Y821">_xlfn.IFS(H821=0.1,1,H821=0.15,1,H821=0.05,1,H821=0,0)</f>
        <v>1</v>
      </c>
      <c r="Z821">
        <f t="shared" si="89"/>
        <v>7</v>
      </c>
      <c r="AA821">
        <f t="shared" si="90"/>
        <v>2023</v>
      </c>
    </row>
    <row r="822" spans="1:27" x14ac:dyDescent="0.3">
      <c r="A822" s="2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L822" t="s">
        <v>59</v>
      </c>
      <c r="M822">
        <v>1</v>
      </c>
      <c r="N822" t="s">
        <v>1659</v>
      </c>
      <c r="O822" t="s">
        <v>1660</v>
      </c>
      <c r="P822">
        <v>5.16</v>
      </c>
      <c r="Q822" s="2">
        <v>45588</v>
      </c>
      <c r="R822" s="2">
        <v>45590</v>
      </c>
      <c r="S822" t="s">
        <v>44</v>
      </c>
      <c r="T822">
        <f t="shared" si="84"/>
        <v>3587.2599999999998</v>
      </c>
      <c r="U822">
        <f t="shared" si="85"/>
        <v>10</v>
      </c>
      <c r="V822">
        <f t="shared" si="86"/>
        <v>3979</v>
      </c>
      <c r="W822">
        <f t="shared" si="87"/>
        <v>397.90000000000009</v>
      </c>
      <c r="X822">
        <f t="shared" si="88"/>
        <v>2</v>
      </c>
      <c r="Y822" cm="1">
        <f t="array" ref="Y822">_xlfn.IFS(H822=0.1,1,H822=0.15,1,H822=0.05,1,H822=0,0)</f>
        <v>1</v>
      </c>
      <c r="Z822">
        <f t="shared" si="89"/>
        <v>20</v>
      </c>
      <c r="AA822">
        <f t="shared" si="90"/>
        <v>2024</v>
      </c>
    </row>
    <row r="823" spans="1:27" x14ac:dyDescent="0.3">
      <c r="A823" s="2">
        <v>45098</v>
      </c>
      <c r="B823" t="s">
        <v>39</v>
      </c>
      <c r="C823" t="s">
        <v>132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65</v>
      </c>
      <c r="L823" t="s">
        <v>35</v>
      </c>
      <c r="M823">
        <v>0</v>
      </c>
      <c r="N823" t="s">
        <v>1661</v>
      </c>
      <c r="O823" t="s">
        <v>676</v>
      </c>
      <c r="P823">
        <v>13.16</v>
      </c>
      <c r="Q823" s="2">
        <v>45098</v>
      </c>
      <c r="R823" s="2">
        <v>45105</v>
      </c>
      <c r="S823" t="s">
        <v>44</v>
      </c>
      <c r="T823">
        <f t="shared" si="84"/>
        <v>5409.0450000000001</v>
      </c>
      <c r="U823">
        <f t="shared" si="85"/>
        <v>15</v>
      </c>
      <c r="V823">
        <f t="shared" si="86"/>
        <v>6348.1</v>
      </c>
      <c r="W823">
        <f t="shared" si="87"/>
        <v>952.21500000000015</v>
      </c>
      <c r="X823">
        <f t="shared" si="88"/>
        <v>7</v>
      </c>
      <c r="Y823" cm="1">
        <f t="array" ref="Y823">_xlfn.IFS(H823=0.1,1,H823=0.15,1,H823=0.05,1,H823=0,0)</f>
        <v>1</v>
      </c>
      <c r="Z823">
        <f t="shared" si="89"/>
        <v>11</v>
      </c>
      <c r="AA823">
        <f t="shared" si="90"/>
        <v>2023</v>
      </c>
    </row>
    <row r="824" spans="1:27" x14ac:dyDescent="0.3">
      <c r="A824" s="2">
        <v>45058</v>
      </c>
      <c r="B824" t="s">
        <v>45</v>
      </c>
      <c r="C824" t="s">
        <v>132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68</v>
      </c>
      <c r="J824">
        <v>450.9</v>
      </c>
      <c r="K824" t="s">
        <v>65</v>
      </c>
      <c r="L824" t="s">
        <v>25</v>
      </c>
      <c r="M824">
        <v>1</v>
      </c>
      <c r="N824" t="s">
        <v>1662</v>
      </c>
      <c r="O824" t="s">
        <v>1224</v>
      </c>
      <c r="P824">
        <v>23.43</v>
      </c>
      <c r="Q824" s="2">
        <v>45058</v>
      </c>
      <c r="R824" s="2">
        <v>45065</v>
      </c>
      <c r="S824" t="s">
        <v>50</v>
      </c>
      <c r="T824">
        <f t="shared" si="84"/>
        <v>475.33</v>
      </c>
      <c r="U824">
        <f t="shared" si="85"/>
        <v>10</v>
      </c>
      <c r="V824">
        <f t="shared" si="86"/>
        <v>501</v>
      </c>
      <c r="W824">
        <f t="shared" si="87"/>
        <v>50.100000000000023</v>
      </c>
      <c r="X824">
        <f t="shared" si="88"/>
        <v>7</v>
      </c>
      <c r="Y824" cm="1">
        <f t="array" ref="Y824">_xlfn.IFS(H824=0.1,1,H824=0.15,1,H824=0.05,1,H824=0,0)</f>
        <v>1</v>
      </c>
      <c r="Z824">
        <f t="shared" si="89"/>
        <v>10</v>
      </c>
      <c r="AA824">
        <f t="shared" si="90"/>
        <v>2023</v>
      </c>
    </row>
    <row r="825" spans="1:27" x14ac:dyDescent="0.3">
      <c r="A825" s="2">
        <v>45585</v>
      </c>
      <c r="B825" t="s">
        <v>45</v>
      </c>
      <c r="C825" t="s">
        <v>132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L825" t="s">
        <v>59</v>
      </c>
      <c r="M825">
        <v>1</v>
      </c>
      <c r="N825" t="s">
        <v>1663</v>
      </c>
      <c r="O825" t="s">
        <v>1664</v>
      </c>
      <c r="P825">
        <v>47.16</v>
      </c>
      <c r="Q825" s="2">
        <v>45585</v>
      </c>
      <c r="R825" s="2">
        <v>45589</v>
      </c>
      <c r="S825" t="s">
        <v>50</v>
      </c>
      <c r="T825">
        <f t="shared" si="84"/>
        <v>9003.3349999999991</v>
      </c>
      <c r="U825">
        <f t="shared" si="85"/>
        <v>15</v>
      </c>
      <c r="V825">
        <f t="shared" si="86"/>
        <v>10535.5</v>
      </c>
      <c r="W825">
        <f t="shared" si="87"/>
        <v>1580.3250000000007</v>
      </c>
      <c r="X825">
        <f t="shared" si="88"/>
        <v>4</v>
      </c>
      <c r="Y825" cm="1">
        <f t="array" ref="Y825">_xlfn.IFS(H825=0.1,1,H825=0.15,1,H825=0.05,1,H825=0,0)</f>
        <v>1</v>
      </c>
      <c r="Z825">
        <f t="shared" si="89"/>
        <v>19</v>
      </c>
      <c r="AA825">
        <f t="shared" si="90"/>
        <v>2024</v>
      </c>
    </row>
    <row r="826" spans="1:27" x14ac:dyDescent="0.3">
      <c r="A826" s="2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1665</v>
      </c>
      <c r="O826" t="s">
        <v>1666</v>
      </c>
      <c r="P826">
        <v>41.24</v>
      </c>
      <c r="Q826" s="2">
        <v>45386</v>
      </c>
      <c r="R826" s="2">
        <v>45389</v>
      </c>
      <c r="S826" t="s">
        <v>44</v>
      </c>
      <c r="T826">
        <f t="shared" si="84"/>
        <v>1683.58</v>
      </c>
      <c r="U826">
        <f t="shared" si="85"/>
        <v>0</v>
      </c>
      <c r="V826">
        <f t="shared" si="86"/>
        <v>1642.3400000000001</v>
      </c>
      <c r="W826">
        <f t="shared" si="87"/>
        <v>0</v>
      </c>
      <c r="X826">
        <f t="shared" si="88"/>
        <v>3</v>
      </c>
      <c r="Y826" cm="1">
        <f t="array" ref="Y826">_xlfn.IFS(H826=0.1,1,H826=0.15,1,H826=0.05,1,H826=0,0)</f>
        <v>0</v>
      </c>
      <c r="Z826">
        <f t="shared" si="89"/>
        <v>0</v>
      </c>
      <c r="AA826">
        <f t="shared" si="90"/>
        <v>2024</v>
      </c>
    </row>
    <row r="827" spans="1:27" x14ac:dyDescent="0.3">
      <c r="A827" s="2">
        <v>45669</v>
      </c>
      <c r="B827" t="s">
        <v>45</v>
      </c>
      <c r="C827" t="s">
        <v>81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68</v>
      </c>
      <c r="J827">
        <v>581.93999999999994</v>
      </c>
      <c r="K827" t="s">
        <v>58</v>
      </c>
      <c r="L827" t="s">
        <v>41</v>
      </c>
      <c r="M827">
        <v>0</v>
      </c>
      <c r="N827" t="s">
        <v>1667</v>
      </c>
      <c r="O827" t="s">
        <v>1668</v>
      </c>
      <c r="P827">
        <v>27.53</v>
      </c>
      <c r="Q827" s="2">
        <v>45669</v>
      </c>
      <c r="R827" s="2">
        <v>45673</v>
      </c>
      <c r="S827" t="s">
        <v>50</v>
      </c>
      <c r="T827">
        <f t="shared" si="84"/>
        <v>609.46999999999991</v>
      </c>
      <c r="U827">
        <f t="shared" si="85"/>
        <v>0</v>
      </c>
      <c r="V827">
        <f t="shared" si="86"/>
        <v>581.93999999999994</v>
      </c>
      <c r="W827">
        <f t="shared" si="87"/>
        <v>0</v>
      </c>
      <c r="X827">
        <f t="shared" si="88"/>
        <v>4</v>
      </c>
      <c r="Y827" cm="1">
        <f t="array" ref="Y827">_xlfn.IFS(H827=0.1,1,H827=0.15,1,H827=0.05,1,H827=0,0)</f>
        <v>0</v>
      </c>
      <c r="Z827">
        <f t="shared" si="89"/>
        <v>0</v>
      </c>
      <c r="AA827">
        <f t="shared" si="90"/>
        <v>2025</v>
      </c>
    </row>
    <row r="828" spans="1:27" x14ac:dyDescent="0.3">
      <c r="A828" s="2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1669</v>
      </c>
      <c r="O828" t="s">
        <v>1670</v>
      </c>
      <c r="P828">
        <v>41.56</v>
      </c>
      <c r="Q828" s="2">
        <v>45131</v>
      </c>
      <c r="R828" s="2">
        <v>45136</v>
      </c>
      <c r="S828" t="s">
        <v>38</v>
      </c>
      <c r="T828">
        <f t="shared" si="84"/>
        <v>7391.9000000000005</v>
      </c>
      <c r="U828">
        <f t="shared" si="85"/>
        <v>5</v>
      </c>
      <c r="V828">
        <f t="shared" si="86"/>
        <v>7737.2000000000007</v>
      </c>
      <c r="W828">
        <f t="shared" si="87"/>
        <v>386.86000000000058</v>
      </c>
      <c r="X828">
        <f t="shared" si="88"/>
        <v>5</v>
      </c>
      <c r="Y828" cm="1">
        <f t="array" ref="Y828">_xlfn.IFS(H828=0.1,1,H828=0.15,1,H828=0.05,1,H828=0,0)</f>
        <v>1</v>
      </c>
      <c r="Z828">
        <f t="shared" si="89"/>
        <v>20</v>
      </c>
      <c r="AA828">
        <f t="shared" si="90"/>
        <v>2023</v>
      </c>
    </row>
    <row r="829" spans="1:27" x14ac:dyDescent="0.3">
      <c r="A829" s="2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65</v>
      </c>
      <c r="L829" t="s">
        <v>35</v>
      </c>
      <c r="M829">
        <v>1</v>
      </c>
      <c r="N829" t="s">
        <v>1671</v>
      </c>
      <c r="O829" t="s">
        <v>1477</v>
      </c>
      <c r="P829">
        <v>30.73</v>
      </c>
      <c r="Q829" s="2">
        <v>45178</v>
      </c>
      <c r="R829" s="2">
        <v>45182</v>
      </c>
      <c r="S829" t="s">
        <v>44</v>
      </c>
      <c r="T829">
        <f t="shared" si="84"/>
        <v>1007.69</v>
      </c>
      <c r="U829">
        <f t="shared" si="85"/>
        <v>0</v>
      </c>
      <c r="V829">
        <f t="shared" si="86"/>
        <v>975.96</v>
      </c>
      <c r="W829">
        <f t="shared" si="87"/>
        <v>0</v>
      </c>
      <c r="X829">
        <f t="shared" si="88"/>
        <v>4</v>
      </c>
      <c r="Y829" cm="1">
        <f t="array" ref="Y829">_xlfn.IFS(H829=0.1,1,H829=0.15,1,H829=0.05,1,H829=0,0)</f>
        <v>0</v>
      </c>
      <c r="Z829">
        <f t="shared" si="89"/>
        <v>0</v>
      </c>
      <c r="AA829">
        <f t="shared" si="90"/>
        <v>2023</v>
      </c>
    </row>
    <row r="830" spans="1:27" x14ac:dyDescent="0.3">
      <c r="A830" s="2">
        <v>45402</v>
      </c>
      <c r="B830" t="s">
        <v>19</v>
      </c>
      <c r="C830" t="s">
        <v>132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68</v>
      </c>
      <c r="J830">
        <v>2340.2624999999998</v>
      </c>
      <c r="K830" t="s">
        <v>34</v>
      </c>
      <c r="L830" t="s">
        <v>59</v>
      </c>
      <c r="M830">
        <v>0</v>
      </c>
      <c r="N830" t="s">
        <v>1672</v>
      </c>
      <c r="O830" t="s">
        <v>1673</v>
      </c>
      <c r="P830">
        <v>16.82</v>
      </c>
      <c r="Q830" s="2">
        <v>45402</v>
      </c>
      <c r="R830" s="2">
        <v>45409</v>
      </c>
      <c r="S830" t="s">
        <v>28</v>
      </c>
      <c r="T830">
        <f t="shared" si="84"/>
        <v>2357.0825</v>
      </c>
      <c r="U830">
        <f t="shared" si="85"/>
        <v>15</v>
      </c>
      <c r="V830">
        <f t="shared" si="86"/>
        <v>2753.25</v>
      </c>
      <c r="W830">
        <f t="shared" si="87"/>
        <v>412.98750000000018</v>
      </c>
      <c r="X830">
        <f t="shared" si="88"/>
        <v>7</v>
      </c>
      <c r="Y830" cm="1">
        <f t="array" ref="Y830">_xlfn.IFS(H830=0.1,1,H830=0.15,1,H830=0.05,1,H830=0,0)</f>
        <v>1</v>
      </c>
      <c r="Z830">
        <f t="shared" si="89"/>
        <v>5</v>
      </c>
      <c r="AA830">
        <f t="shared" si="90"/>
        <v>2024</v>
      </c>
    </row>
    <row r="831" spans="1:27" x14ac:dyDescent="0.3">
      <c r="A831" s="2">
        <v>45694</v>
      </c>
      <c r="B831" t="s">
        <v>71</v>
      </c>
      <c r="C831" t="s">
        <v>132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1674</v>
      </c>
      <c r="O831" t="s">
        <v>1439</v>
      </c>
      <c r="P831">
        <v>29.22</v>
      </c>
      <c r="Q831" s="2">
        <v>45694</v>
      </c>
      <c r="R831" s="2">
        <v>45702</v>
      </c>
      <c r="S831" t="s">
        <v>74</v>
      </c>
      <c r="T831">
        <f t="shared" si="84"/>
        <v>1830.078</v>
      </c>
      <c r="U831">
        <f t="shared" si="85"/>
        <v>5</v>
      </c>
      <c r="V831">
        <f t="shared" si="86"/>
        <v>1895.64</v>
      </c>
      <c r="W831">
        <f t="shared" si="87"/>
        <v>94.782000000000153</v>
      </c>
      <c r="X831">
        <f t="shared" si="88"/>
        <v>8</v>
      </c>
      <c r="Y831" cm="1">
        <f t="array" ref="Y831">_xlfn.IFS(H831=0.1,1,H831=0.15,1,H831=0.05,1,H831=0,0)</f>
        <v>1</v>
      </c>
      <c r="Z831">
        <f t="shared" si="89"/>
        <v>4</v>
      </c>
      <c r="AA831">
        <f t="shared" si="90"/>
        <v>2025</v>
      </c>
    </row>
    <row r="832" spans="1:27" x14ac:dyDescent="0.3">
      <c r="A832" s="2">
        <v>45095</v>
      </c>
      <c r="B832" t="s">
        <v>71</v>
      </c>
      <c r="C832" t="s">
        <v>81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68</v>
      </c>
      <c r="J832">
        <v>479.17999999999989</v>
      </c>
      <c r="K832" t="s">
        <v>58</v>
      </c>
      <c r="L832" t="s">
        <v>59</v>
      </c>
      <c r="M832">
        <v>0</v>
      </c>
      <c r="N832" t="s">
        <v>1675</v>
      </c>
      <c r="O832" t="s">
        <v>1676</v>
      </c>
      <c r="P832">
        <v>31.31</v>
      </c>
      <c r="Q832" s="2">
        <v>45095</v>
      </c>
      <c r="R832" s="2">
        <v>45099</v>
      </c>
      <c r="S832" t="s">
        <v>74</v>
      </c>
      <c r="T832">
        <f t="shared" si="84"/>
        <v>510.4899999999999</v>
      </c>
      <c r="U832">
        <f t="shared" si="85"/>
        <v>0</v>
      </c>
      <c r="V832">
        <f t="shared" si="86"/>
        <v>479.17999999999995</v>
      </c>
      <c r="W832">
        <f t="shared" si="87"/>
        <v>0</v>
      </c>
      <c r="X832">
        <f t="shared" si="88"/>
        <v>4</v>
      </c>
      <c r="Y832" cm="1">
        <f t="array" ref="Y832">_xlfn.IFS(H832=0.1,1,H832=0.15,1,H832=0.05,1,H832=0,0)</f>
        <v>0</v>
      </c>
      <c r="Z832">
        <f t="shared" si="89"/>
        <v>0</v>
      </c>
      <c r="AA832">
        <f t="shared" si="90"/>
        <v>2023</v>
      </c>
    </row>
    <row r="833" spans="1:27" x14ac:dyDescent="0.3">
      <c r="A833" s="2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1677</v>
      </c>
      <c r="O833" t="s">
        <v>1678</v>
      </c>
      <c r="P833">
        <v>37.369999999999997</v>
      </c>
      <c r="Q833" s="2">
        <v>45597</v>
      </c>
      <c r="R833" s="2">
        <v>45604</v>
      </c>
      <c r="S833" t="s">
        <v>44</v>
      </c>
      <c r="T833">
        <f t="shared" si="84"/>
        <v>912.45</v>
      </c>
      <c r="U833">
        <f t="shared" si="85"/>
        <v>0</v>
      </c>
      <c r="V833">
        <f t="shared" si="86"/>
        <v>874.08</v>
      </c>
      <c r="W833">
        <f t="shared" si="87"/>
        <v>0</v>
      </c>
      <c r="X833">
        <f t="shared" si="88"/>
        <v>7</v>
      </c>
      <c r="Y833" cm="1">
        <f t="array" ref="Y833">_xlfn.IFS(H833=0.1,1,H833=0.15,1,H833=0.05,1,H833=0,0)</f>
        <v>0</v>
      </c>
      <c r="Z833">
        <f t="shared" si="89"/>
        <v>0</v>
      </c>
      <c r="AA833">
        <f t="shared" si="90"/>
        <v>2024</v>
      </c>
    </row>
    <row r="834" spans="1:27" x14ac:dyDescent="0.3">
      <c r="A834" s="2">
        <v>45516</v>
      </c>
      <c r="B834" t="s">
        <v>71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1679</v>
      </c>
      <c r="O834" t="s">
        <v>1680</v>
      </c>
      <c r="P834">
        <v>21.22</v>
      </c>
      <c r="Q834" s="2">
        <v>45516</v>
      </c>
      <c r="R834" s="2">
        <v>45525</v>
      </c>
      <c r="S834" t="s">
        <v>74</v>
      </c>
      <c r="T834">
        <f t="shared" si="84"/>
        <v>1929.875</v>
      </c>
      <c r="U834">
        <f t="shared" si="85"/>
        <v>15</v>
      </c>
      <c r="V834">
        <f t="shared" si="86"/>
        <v>2244.3000000000002</v>
      </c>
      <c r="W834">
        <f t="shared" si="87"/>
        <v>336.64500000000021</v>
      </c>
      <c r="X834">
        <f t="shared" si="88"/>
        <v>9</v>
      </c>
      <c r="Y834" cm="1">
        <f t="array" ref="Y834">_xlfn.IFS(H834=0.1,1,H834=0.15,1,H834=0.05,1,H834=0,0)</f>
        <v>1</v>
      </c>
      <c r="Z834">
        <f t="shared" si="89"/>
        <v>5</v>
      </c>
      <c r="AA834">
        <f t="shared" si="90"/>
        <v>2024</v>
      </c>
    </row>
    <row r="835" spans="1:27" x14ac:dyDescent="0.3">
      <c r="A835" s="2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1681</v>
      </c>
      <c r="O835" t="s">
        <v>1682</v>
      </c>
      <c r="P835">
        <v>21.04</v>
      </c>
      <c r="Q835" s="2">
        <v>45755</v>
      </c>
      <c r="R835" s="2">
        <v>45764</v>
      </c>
      <c r="S835" t="s">
        <v>50</v>
      </c>
      <c r="T835">
        <f t="shared" ref="T835:T898" si="91">SUM(J835:P835)</f>
        <v>4220.2</v>
      </c>
      <c r="U835">
        <f t="shared" ref="U835:U898" si="92">PRODUCT(100,H835)</f>
        <v>0</v>
      </c>
      <c r="V835">
        <f t="shared" ref="V835:V898" si="93">PRODUCT(D835:E835)</f>
        <v>4199.16</v>
      </c>
      <c r="W835">
        <f t="shared" ref="W835:W898" si="94" xml:space="preserve"> V835-J835</f>
        <v>0</v>
      </c>
      <c r="X835">
        <f t="shared" ref="X835:X898" si="95">R835-Q835</f>
        <v>9</v>
      </c>
      <c r="Y835" cm="1">
        <f t="array" ref="Y835">_xlfn.IFS(H835=0.1,1,H835=0.15,1,H835=0.05,1,H835=0,0)</f>
        <v>0</v>
      </c>
      <c r="Z835">
        <f t="shared" ref="Z835:Z898" si="96">PRODUCT(Y835,D835)</f>
        <v>0</v>
      </c>
      <c r="AA835">
        <f t="shared" ref="AA835:AA898" si="97">YEAR(A835)</f>
        <v>2025</v>
      </c>
    </row>
    <row r="836" spans="1:27" x14ac:dyDescent="0.3">
      <c r="A836" s="2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68</v>
      </c>
      <c r="J836">
        <v>1524.424</v>
      </c>
      <c r="K836" t="s">
        <v>62</v>
      </c>
      <c r="L836" t="s">
        <v>59</v>
      </c>
      <c r="M836">
        <v>0</v>
      </c>
      <c r="N836" t="s">
        <v>1683</v>
      </c>
      <c r="O836" t="s">
        <v>1684</v>
      </c>
      <c r="P836">
        <v>36.9</v>
      </c>
      <c r="Q836" s="2">
        <v>45493</v>
      </c>
      <c r="R836" s="2">
        <v>45499</v>
      </c>
      <c r="S836" t="s">
        <v>50</v>
      </c>
      <c r="T836">
        <f t="shared" si="91"/>
        <v>1561.3240000000001</v>
      </c>
      <c r="U836">
        <f t="shared" si="92"/>
        <v>15</v>
      </c>
      <c r="V836">
        <f t="shared" si="93"/>
        <v>1793.44</v>
      </c>
      <c r="W836">
        <f t="shared" si="94"/>
        <v>269.01600000000008</v>
      </c>
      <c r="X836">
        <f t="shared" si="95"/>
        <v>6</v>
      </c>
      <c r="Y836" cm="1">
        <f t="array" ref="Y836">_xlfn.IFS(H836=0.1,1,H836=0.15,1,H836=0.05,1,H836=0,0)</f>
        <v>1</v>
      </c>
      <c r="Z836">
        <f t="shared" si="96"/>
        <v>8</v>
      </c>
      <c r="AA836">
        <f t="shared" si="97"/>
        <v>2024</v>
      </c>
    </row>
    <row r="837" spans="1:27" x14ac:dyDescent="0.3">
      <c r="A837" s="2">
        <v>44974</v>
      </c>
      <c r="B837" t="s">
        <v>71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65</v>
      </c>
      <c r="L837" t="s">
        <v>59</v>
      </c>
      <c r="M837">
        <v>0</v>
      </c>
      <c r="N837" t="s">
        <v>1685</v>
      </c>
      <c r="O837" t="s">
        <v>1686</v>
      </c>
      <c r="P837">
        <v>22.34</v>
      </c>
      <c r="Q837" s="2">
        <v>44974</v>
      </c>
      <c r="R837" s="2">
        <v>44978</v>
      </c>
      <c r="S837" t="s">
        <v>74</v>
      </c>
      <c r="T837">
        <f t="shared" si="91"/>
        <v>1890.173</v>
      </c>
      <c r="U837">
        <f t="shared" si="92"/>
        <v>5</v>
      </c>
      <c r="V837">
        <f t="shared" si="93"/>
        <v>1966.1399999999999</v>
      </c>
      <c r="W837">
        <f t="shared" si="94"/>
        <v>98.306999999999789</v>
      </c>
      <c r="X837">
        <f t="shared" si="95"/>
        <v>4</v>
      </c>
      <c r="Y837" cm="1">
        <f t="array" ref="Y837">_xlfn.IFS(H837=0.1,1,H837=0.15,1,H837=0.05,1,H837=0,0)</f>
        <v>1</v>
      </c>
      <c r="Z837">
        <f t="shared" si="96"/>
        <v>6</v>
      </c>
      <c r="AA837">
        <f t="shared" si="97"/>
        <v>2023</v>
      </c>
    </row>
    <row r="838" spans="1:27" x14ac:dyDescent="0.3">
      <c r="A838" s="2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3285.251999999999</v>
      </c>
      <c r="K838" t="s">
        <v>65</v>
      </c>
      <c r="L838" t="s">
        <v>25</v>
      </c>
      <c r="M838">
        <v>1</v>
      </c>
      <c r="N838" t="s">
        <v>1687</v>
      </c>
      <c r="O838" t="s">
        <v>1688</v>
      </c>
      <c r="P838">
        <v>20.64</v>
      </c>
      <c r="Q838" s="2">
        <v>45475</v>
      </c>
      <c r="R838" s="2">
        <v>45477</v>
      </c>
      <c r="S838" t="s">
        <v>28</v>
      </c>
      <c r="T838">
        <f t="shared" si="91"/>
        <v>3306.8919999999989</v>
      </c>
      <c r="U838">
        <f t="shared" si="92"/>
        <v>5</v>
      </c>
      <c r="V838">
        <f t="shared" si="93"/>
        <v>3458.16</v>
      </c>
      <c r="W838">
        <f t="shared" si="94"/>
        <v>172.90800000000081</v>
      </c>
      <c r="X838">
        <f t="shared" si="95"/>
        <v>2</v>
      </c>
      <c r="Y838" cm="1">
        <f t="array" ref="Y838">_xlfn.IFS(H838=0.1,1,H838=0.15,1,H838=0.05,1,H838=0,0)</f>
        <v>1</v>
      </c>
      <c r="Z838">
        <f t="shared" si="96"/>
        <v>8</v>
      </c>
      <c r="AA838">
        <f t="shared" si="97"/>
        <v>2024</v>
      </c>
    </row>
    <row r="839" spans="1:27" x14ac:dyDescent="0.3">
      <c r="A839" s="2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849.9319999999999</v>
      </c>
      <c r="K839" t="s">
        <v>62</v>
      </c>
      <c r="L839" t="s">
        <v>35</v>
      </c>
      <c r="M839">
        <v>0</v>
      </c>
      <c r="N839" t="s">
        <v>1689</v>
      </c>
      <c r="O839" t="s">
        <v>1690</v>
      </c>
      <c r="P839">
        <v>49.08</v>
      </c>
      <c r="Q839" s="2">
        <v>45748</v>
      </c>
      <c r="R839" s="2">
        <v>45751</v>
      </c>
      <c r="S839" t="s">
        <v>44</v>
      </c>
      <c r="T839">
        <f t="shared" si="91"/>
        <v>899.01199999999994</v>
      </c>
      <c r="U839">
        <f t="shared" si="92"/>
        <v>15</v>
      </c>
      <c r="V839">
        <f t="shared" si="93"/>
        <v>999.92</v>
      </c>
      <c r="W839">
        <f t="shared" si="94"/>
        <v>149.98800000000006</v>
      </c>
      <c r="X839">
        <f t="shared" si="95"/>
        <v>3</v>
      </c>
      <c r="Y839" cm="1">
        <f t="array" ref="Y839">_xlfn.IFS(H839=0.1,1,H839=0.15,1,H839=0.05,1,H839=0,0)</f>
        <v>1</v>
      </c>
      <c r="Z839">
        <f t="shared" si="96"/>
        <v>4</v>
      </c>
      <c r="AA839">
        <f t="shared" si="97"/>
        <v>2025</v>
      </c>
    </row>
    <row r="840" spans="1:27" x14ac:dyDescent="0.3">
      <c r="A840" s="2">
        <v>45810</v>
      </c>
      <c r="B840" t="s">
        <v>29</v>
      </c>
      <c r="C840" t="s">
        <v>132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62</v>
      </c>
      <c r="L840" t="s">
        <v>25</v>
      </c>
      <c r="M840">
        <v>0</v>
      </c>
      <c r="N840" t="s">
        <v>1691</v>
      </c>
      <c r="O840" t="s">
        <v>1692</v>
      </c>
      <c r="P840">
        <v>15.3</v>
      </c>
      <c r="Q840" s="2">
        <v>45810</v>
      </c>
      <c r="R840" s="2">
        <v>45817</v>
      </c>
      <c r="S840" t="s">
        <v>38</v>
      </c>
      <c r="T840">
        <f t="shared" si="91"/>
        <v>2327.5890000000004</v>
      </c>
      <c r="U840">
        <f t="shared" si="92"/>
        <v>15</v>
      </c>
      <c r="V840">
        <f t="shared" si="93"/>
        <v>2720.34</v>
      </c>
      <c r="W840">
        <f t="shared" si="94"/>
        <v>408.05099999999993</v>
      </c>
      <c r="X840">
        <f t="shared" si="95"/>
        <v>7</v>
      </c>
      <c r="Y840" cm="1">
        <f t="array" ref="Y840">_xlfn.IFS(H840=0.1,1,H840=0.15,1,H840=0.05,1,H840=0,0)</f>
        <v>1</v>
      </c>
      <c r="Z840">
        <f t="shared" si="96"/>
        <v>14</v>
      </c>
      <c r="AA840">
        <f t="shared" si="97"/>
        <v>2025</v>
      </c>
    </row>
    <row r="841" spans="1:27" x14ac:dyDescent="0.3">
      <c r="A841" s="2">
        <v>45617</v>
      </c>
      <c r="B841" t="s">
        <v>71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L841" t="s">
        <v>59</v>
      </c>
      <c r="M841">
        <v>0</v>
      </c>
      <c r="N841" t="s">
        <v>1693</v>
      </c>
      <c r="O841" t="s">
        <v>1694</v>
      </c>
      <c r="P841">
        <v>20.83</v>
      </c>
      <c r="Q841" s="2">
        <v>45617</v>
      </c>
      <c r="R841" s="2">
        <v>45625</v>
      </c>
      <c r="S841" t="s">
        <v>74</v>
      </c>
      <c r="T841">
        <f t="shared" si="91"/>
        <v>367.28</v>
      </c>
      <c r="U841">
        <f t="shared" si="92"/>
        <v>0</v>
      </c>
      <c r="V841">
        <f t="shared" si="93"/>
        <v>346.45000000000005</v>
      </c>
      <c r="W841">
        <f t="shared" si="94"/>
        <v>0</v>
      </c>
      <c r="X841">
        <f t="shared" si="95"/>
        <v>8</v>
      </c>
      <c r="Y841" cm="1">
        <f t="array" ref="Y841">_xlfn.IFS(H841=0.1,1,H841=0.15,1,H841=0.05,1,H841=0,0)</f>
        <v>0</v>
      </c>
      <c r="Z841">
        <f t="shared" si="96"/>
        <v>0</v>
      </c>
      <c r="AA841">
        <f t="shared" si="97"/>
        <v>2024</v>
      </c>
    </row>
    <row r="842" spans="1:27" x14ac:dyDescent="0.3">
      <c r="A842" s="2">
        <v>45301</v>
      </c>
      <c r="B842" t="s">
        <v>29</v>
      </c>
      <c r="C842" t="s">
        <v>132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4603.6500000000005</v>
      </c>
      <c r="K842" t="s">
        <v>65</v>
      </c>
      <c r="L842" t="s">
        <v>25</v>
      </c>
      <c r="M842">
        <v>1</v>
      </c>
      <c r="N842" t="s">
        <v>1695</v>
      </c>
      <c r="O842" t="s">
        <v>1696</v>
      </c>
      <c r="P842">
        <v>19.38</v>
      </c>
      <c r="Q842" s="2">
        <v>45301</v>
      </c>
      <c r="R842" s="2">
        <v>45305</v>
      </c>
      <c r="S842" t="s">
        <v>38</v>
      </c>
      <c r="T842">
        <f t="shared" si="91"/>
        <v>4624.0300000000007</v>
      </c>
      <c r="U842">
        <f t="shared" si="92"/>
        <v>0</v>
      </c>
      <c r="V842">
        <f t="shared" si="93"/>
        <v>4603.6500000000005</v>
      </c>
      <c r="W842">
        <f t="shared" si="94"/>
        <v>0</v>
      </c>
      <c r="X842">
        <f t="shared" si="95"/>
        <v>4</v>
      </c>
      <c r="Y842" cm="1">
        <f t="array" ref="Y842">_xlfn.IFS(H842=0.1,1,H842=0.15,1,H842=0.05,1,H842=0,0)</f>
        <v>0</v>
      </c>
      <c r="Z842">
        <f t="shared" si="96"/>
        <v>0</v>
      </c>
      <c r="AA842">
        <f t="shared" si="97"/>
        <v>2024</v>
      </c>
    </row>
    <row r="843" spans="1:27" x14ac:dyDescent="0.3">
      <c r="A843" s="2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62</v>
      </c>
      <c r="L843" t="s">
        <v>59</v>
      </c>
      <c r="M843">
        <v>0</v>
      </c>
      <c r="N843" t="s">
        <v>1697</v>
      </c>
      <c r="O843" t="s">
        <v>1698</v>
      </c>
      <c r="P843">
        <v>43.56</v>
      </c>
      <c r="Q843" s="2">
        <v>45220</v>
      </c>
      <c r="R843" s="2">
        <v>45225</v>
      </c>
      <c r="S843" t="s">
        <v>44</v>
      </c>
      <c r="T843">
        <f t="shared" si="91"/>
        <v>1370.58</v>
      </c>
      <c r="U843">
        <f t="shared" si="92"/>
        <v>15</v>
      </c>
      <c r="V843">
        <f t="shared" si="93"/>
        <v>1561.2</v>
      </c>
      <c r="W843">
        <f t="shared" si="94"/>
        <v>234.18000000000006</v>
      </c>
      <c r="X843">
        <f t="shared" si="95"/>
        <v>5</v>
      </c>
      <c r="Y843" cm="1">
        <f t="array" ref="Y843">_xlfn.IFS(H843=0.1,1,H843=0.15,1,H843=0.05,1,H843=0,0)</f>
        <v>1</v>
      </c>
      <c r="Z843">
        <f t="shared" si="96"/>
        <v>4</v>
      </c>
      <c r="AA843">
        <f t="shared" si="97"/>
        <v>2023</v>
      </c>
    </row>
    <row r="844" spans="1:27" x14ac:dyDescent="0.3">
      <c r="A844" s="2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1699</v>
      </c>
      <c r="O844" t="s">
        <v>1700</v>
      </c>
      <c r="P844">
        <v>25.49</v>
      </c>
      <c r="Q844" s="2">
        <v>45677</v>
      </c>
      <c r="R844" s="2">
        <v>45679</v>
      </c>
      <c r="S844" t="s">
        <v>44</v>
      </c>
      <c r="T844">
        <f t="shared" si="91"/>
        <v>458.3</v>
      </c>
      <c r="U844">
        <f t="shared" si="92"/>
        <v>0</v>
      </c>
      <c r="V844">
        <f t="shared" si="93"/>
        <v>432.81</v>
      </c>
      <c r="W844">
        <f t="shared" si="94"/>
        <v>0</v>
      </c>
      <c r="X844">
        <f t="shared" si="95"/>
        <v>2</v>
      </c>
      <c r="Y844" cm="1">
        <f t="array" ref="Y844">_xlfn.IFS(H844=0.1,1,H844=0.15,1,H844=0.05,1,H844=0,0)</f>
        <v>0</v>
      </c>
      <c r="Z844">
        <f t="shared" si="96"/>
        <v>0</v>
      </c>
      <c r="AA844">
        <f t="shared" si="97"/>
        <v>2025</v>
      </c>
    </row>
    <row r="845" spans="1:27" x14ac:dyDescent="0.3">
      <c r="A845" s="2">
        <v>45605</v>
      </c>
      <c r="B845" t="s">
        <v>71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65</v>
      </c>
      <c r="L845" t="s">
        <v>25</v>
      </c>
      <c r="M845">
        <v>0</v>
      </c>
      <c r="N845" t="s">
        <v>1701</v>
      </c>
      <c r="O845" t="s">
        <v>1702</v>
      </c>
      <c r="P845">
        <v>23.4</v>
      </c>
      <c r="Q845" s="2">
        <v>45605</v>
      </c>
      <c r="R845" s="2">
        <v>45613</v>
      </c>
      <c r="S845" t="s">
        <v>74</v>
      </c>
      <c r="T845">
        <f t="shared" si="91"/>
        <v>577.47799999999995</v>
      </c>
      <c r="U845">
        <f t="shared" si="92"/>
        <v>5</v>
      </c>
      <c r="V845">
        <f t="shared" si="93"/>
        <v>583.24</v>
      </c>
      <c r="W845">
        <f t="shared" si="94"/>
        <v>29.162000000000035</v>
      </c>
      <c r="X845">
        <f t="shared" si="95"/>
        <v>8</v>
      </c>
      <c r="Y845" cm="1">
        <f t="array" ref="Y845">_xlfn.IFS(H845=0.1,1,H845=0.15,1,H845=0.05,1,H845=0,0)</f>
        <v>1</v>
      </c>
      <c r="Z845">
        <f t="shared" si="96"/>
        <v>7</v>
      </c>
      <c r="AA845">
        <f t="shared" si="97"/>
        <v>2024</v>
      </c>
    </row>
    <row r="846" spans="1:27" x14ac:dyDescent="0.3">
      <c r="A846" s="2">
        <v>45385</v>
      </c>
      <c r="B846" t="s">
        <v>71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68</v>
      </c>
      <c r="J846">
        <v>2139.6280000000002</v>
      </c>
      <c r="K846" t="s">
        <v>65</v>
      </c>
      <c r="L846" t="s">
        <v>41</v>
      </c>
      <c r="M846">
        <v>0</v>
      </c>
      <c r="N846" t="s">
        <v>1703</v>
      </c>
      <c r="O846" t="s">
        <v>1704</v>
      </c>
      <c r="P846">
        <v>19.5</v>
      </c>
      <c r="Q846" s="2">
        <v>45385</v>
      </c>
      <c r="R846" s="2">
        <v>45389</v>
      </c>
      <c r="S846" t="s">
        <v>74</v>
      </c>
      <c r="T846">
        <f t="shared" si="91"/>
        <v>2159.1280000000002</v>
      </c>
      <c r="U846">
        <f t="shared" si="92"/>
        <v>5</v>
      </c>
      <c r="V846">
        <f t="shared" si="93"/>
        <v>2252.2399999999998</v>
      </c>
      <c r="W846">
        <f t="shared" si="94"/>
        <v>112.61199999999963</v>
      </c>
      <c r="X846">
        <f t="shared" si="95"/>
        <v>4</v>
      </c>
      <c r="Y846" cm="1">
        <f t="array" ref="Y846">_xlfn.IFS(H846=0.1,1,H846=0.15,1,H846=0.05,1,H846=0,0)</f>
        <v>1</v>
      </c>
      <c r="Z846">
        <f t="shared" si="96"/>
        <v>4</v>
      </c>
      <c r="AA846">
        <f t="shared" si="97"/>
        <v>2024</v>
      </c>
    </row>
    <row r="847" spans="1:27" x14ac:dyDescent="0.3">
      <c r="A847" s="2">
        <v>45297</v>
      </c>
      <c r="B847" t="s">
        <v>39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65</v>
      </c>
      <c r="L847" t="s">
        <v>35</v>
      </c>
      <c r="M847">
        <v>0</v>
      </c>
      <c r="N847" t="s">
        <v>1705</v>
      </c>
      <c r="O847" t="s">
        <v>1706</v>
      </c>
      <c r="P847">
        <v>26.04</v>
      </c>
      <c r="Q847" s="2">
        <v>45297</v>
      </c>
      <c r="R847" s="2">
        <v>45299</v>
      </c>
      <c r="S847" t="s">
        <v>44</v>
      </c>
      <c r="T847">
        <f t="shared" si="91"/>
        <v>2858.7075</v>
      </c>
      <c r="U847">
        <f t="shared" si="92"/>
        <v>15</v>
      </c>
      <c r="V847">
        <f t="shared" si="93"/>
        <v>3332.55</v>
      </c>
      <c r="W847">
        <f t="shared" si="94"/>
        <v>499.88250000000016</v>
      </c>
      <c r="X847">
        <f t="shared" si="95"/>
        <v>2</v>
      </c>
      <c r="Y847" cm="1">
        <f t="array" ref="Y847">_xlfn.IFS(H847=0.1,1,H847=0.15,1,H847=0.05,1,H847=0,0)</f>
        <v>1</v>
      </c>
      <c r="Z847">
        <f t="shared" si="96"/>
        <v>13</v>
      </c>
      <c r="AA847">
        <f t="shared" si="97"/>
        <v>2024</v>
      </c>
    </row>
    <row r="848" spans="1:27" x14ac:dyDescent="0.3">
      <c r="A848" s="2">
        <v>45140</v>
      </c>
      <c r="B848" t="s">
        <v>45</v>
      </c>
      <c r="C848" t="s">
        <v>132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62</v>
      </c>
      <c r="L848" t="s">
        <v>25</v>
      </c>
      <c r="M848">
        <v>0</v>
      </c>
      <c r="N848" t="s">
        <v>1707</v>
      </c>
      <c r="O848" t="s">
        <v>1708</v>
      </c>
      <c r="P848">
        <v>17.010000000000002</v>
      </c>
      <c r="Q848" s="2">
        <v>45140</v>
      </c>
      <c r="R848" s="2">
        <v>45143</v>
      </c>
      <c r="S848" t="s">
        <v>50</v>
      </c>
      <c r="T848">
        <f t="shared" si="91"/>
        <v>2609.8830000000003</v>
      </c>
      <c r="U848">
        <f t="shared" si="92"/>
        <v>5</v>
      </c>
      <c r="V848">
        <f t="shared" si="93"/>
        <v>2729.34</v>
      </c>
      <c r="W848">
        <f t="shared" si="94"/>
        <v>136.4670000000001</v>
      </c>
      <c r="X848">
        <f t="shared" si="95"/>
        <v>3</v>
      </c>
      <c r="Y848" cm="1">
        <f t="array" ref="Y848">_xlfn.IFS(H848=0.1,1,H848=0.15,1,H848=0.05,1,H848=0,0)</f>
        <v>1</v>
      </c>
      <c r="Z848">
        <f t="shared" si="96"/>
        <v>9</v>
      </c>
      <c r="AA848">
        <f t="shared" si="97"/>
        <v>2023</v>
      </c>
    </row>
    <row r="849" spans="1:27" x14ac:dyDescent="0.3">
      <c r="A849" s="2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1709</v>
      </c>
      <c r="O849" t="s">
        <v>1710</v>
      </c>
      <c r="P849">
        <v>32.94</v>
      </c>
      <c r="Q849" s="2">
        <v>45256</v>
      </c>
      <c r="R849" s="2">
        <v>45261</v>
      </c>
      <c r="S849" t="s">
        <v>44</v>
      </c>
      <c r="T849">
        <f t="shared" si="91"/>
        <v>3402.6120000000001</v>
      </c>
      <c r="U849">
        <f t="shared" si="92"/>
        <v>15</v>
      </c>
      <c r="V849">
        <f t="shared" si="93"/>
        <v>3964.32</v>
      </c>
      <c r="W849">
        <f t="shared" si="94"/>
        <v>594.64800000000014</v>
      </c>
      <c r="X849">
        <f t="shared" si="95"/>
        <v>5</v>
      </c>
      <c r="Y849" cm="1">
        <f t="array" ref="Y849">_xlfn.IFS(H849=0.1,1,H849=0.15,1,H849=0.05,1,H849=0,0)</f>
        <v>1</v>
      </c>
      <c r="Z849">
        <f t="shared" si="96"/>
        <v>9</v>
      </c>
      <c r="AA849">
        <f t="shared" si="97"/>
        <v>2023</v>
      </c>
    </row>
    <row r="850" spans="1:27" x14ac:dyDescent="0.3">
      <c r="A850" s="2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68</v>
      </c>
      <c r="J850">
        <v>7578.3874999999998</v>
      </c>
      <c r="K850" t="s">
        <v>58</v>
      </c>
      <c r="L850" t="s">
        <v>59</v>
      </c>
      <c r="M850">
        <v>0</v>
      </c>
      <c r="N850" t="s">
        <v>1711</v>
      </c>
      <c r="O850" t="s">
        <v>1712</v>
      </c>
      <c r="P850">
        <v>45.76</v>
      </c>
      <c r="Q850" s="2">
        <v>45767</v>
      </c>
      <c r="R850" s="2">
        <v>45773</v>
      </c>
      <c r="S850" t="s">
        <v>28</v>
      </c>
      <c r="T850">
        <f t="shared" si="91"/>
        <v>7624.1475</v>
      </c>
      <c r="U850">
        <f t="shared" si="92"/>
        <v>5</v>
      </c>
      <c r="V850">
        <f t="shared" si="93"/>
        <v>7977.25</v>
      </c>
      <c r="W850">
        <f t="shared" si="94"/>
        <v>398.86250000000018</v>
      </c>
      <c r="X850">
        <f t="shared" si="95"/>
        <v>6</v>
      </c>
      <c r="Y850" cm="1">
        <f t="array" ref="Y850">_xlfn.IFS(H850=0.1,1,H850=0.15,1,H850=0.05,1,H850=0,0)</f>
        <v>1</v>
      </c>
      <c r="Z850">
        <f t="shared" si="96"/>
        <v>17</v>
      </c>
      <c r="AA850">
        <f t="shared" si="97"/>
        <v>2025</v>
      </c>
    </row>
    <row r="851" spans="1:27" x14ac:dyDescent="0.3">
      <c r="A851" s="2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1713</v>
      </c>
      <c r="O851" t="s">
        <v>1714</v>
      </c>
      <c r="P851">
        <v>37.49</v>
      </c>
      <c r="Q851" s="2">
        <v>45289</v>
      </c>
      <c r="R851" s="2">
        <v>45296</v>
      </c>
      <c r="S851" t="s">
        <v>38</v>
      </c>
      <c r="T851">
        <f t="shared" si="91"/>
        <v>7561.4179999999997</v>
      </c>
      <c r="U851">
        <f t="shared" si="92"/>
        <v>15</v>
      </c>
      <c r="V851">
        <f t="shared" si="93"/>
        <v>8851.68</v>
      </c>
      <c r="W851">
        <f t="shared" si="94"/>
        <v>1327.7520000000004</v>
      </c>
      <c r="X851">
        <f t="shared" si="95"/>
        <v>7</v>
      </c>
      <c r="Y851" cm="1">
        <f t="array" ref="Y851">_xlfn.IFS(H851=0.1,1,H851=0.15,1,H851=0.05,1,H851=0,0)</f>
        <v>1</v>
      </c>
      <c r="Z851">
        <f t="shared" si="96"/>
        <v>18</v>
      </c>
      <c r="AA851">
        <f t="shared" si="97"/>
        <v>2023</v>
      </c>
    </row>
    <row r="852" spans="1:27" x14ac:dyDescent="0.3">
      <c r="A852" s="2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L852" t="s">
        <v>59</v>
      </c>
      <c r="M852">
        <v>0</v>
      </c>
      <c r="N852" t="s">
        <v>1715</v>
      </c>
      <c r="O852" t="s">
        <v>1716</v>
      </c>
      <c r="P852">
        <v>44.95</v>
      </c>
      <c r="Q852" s="2">
        <v>45665</v>
      </c>
      <c r="R852" s="2">
        <v>45667</v>
      </c>
      <c r="S852" t="s">
        <v>50</v>
      </c>
      <c r="T852">
        <f t="shared" si="91"/>
        <v>8443.0735000000004</v>
      </c>
      <c r="U852">
        <f t="shared" si="92"/>
        <v>5</v>
      </c>
      <c r="V852">
        <f t="shared" si="93"/>
        <v>8840.1299999999992</v>
      </c>
      <c r="W852">
        <f t="shared" si="94"/>
        <v>442.00649999999951</v>
      </c>
      <c r="X852">
        <f t="shared" si="95"/>
        <v>2</v>
      </c>
      <c r="Y852" cm="1">
        <f t="array" ref="Y852">_xlfn.IFS(H852=0.1,1,H852=0.15,1,H852=0.05,1,H852=0,0)</f>
        <v>1</v>
      </c>
      <c r="Z852">
        <f t="shared" si="96"/>
        <v>19</v>
      </c>
      <c r="AA852">
        <f t="shared" si="97"/>
        <v>2025</v>
      </c>
    </row>
    <row r="853" spans="1:27" x14ac:dyDescent="0.3">
      <c r="A853" s="2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1717</v>
      </c>
      <c r="O853" t="s">
        <v>1718</v>
      </c>
      <c r="P853">
        <v>20.37</v>
      </c>
      <c r="Q853" s="2">
        <v>45418</v>
      </c>
      <c r="R853" s="2">
        <v>45426</v>
      </c>
      <c r="S853" t="s">
        <v>28</v>
      </c>
      <c r="T853">
        <f t="shared" si="91"/>
        <v>6206.61</v>
      </c>
      <c r="U853">
        <f t="shared" si="92"/>
        <v>0</v>
      </c>
      <c r="V853">
        <f t="shared" si="93"/>
        <v>6186.24</v>
      </c>
      <c r="W853">
        <f t="shared" si="94"/>
        <v>0</v>
      </c>
      <c r="X853">
        <f t="shared" si="95"/>
        <v>8</v>
      </c>
      <c r="Y853" cm="1">
        <f t="array" ref="Y853">_xlfn.IFS(H853=0.1,1,H853=0.15,1,H853=0.05,1,H853=0,0)</f>
        <v>0</v>
      </c>
      <c r="Z853">
        <f t="shared" si="96"/>
        <v>0</v>
      </c>
      <c r="AA853">
        <f t="shared" si="97"/>
        <v>2024</v>
      </c>
    </row>
    <row r="854" spans="1:27" x14ac:dyDescent="0.3">
      <c r="A854" s="2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68</v>
      </c>
      <c r="J854">
        <v>6284.3829999999989</v>
      </c>
      <c r="K854" t="s">
        <v>34</v>
      </c>
      <c r="L854" t="s">
        <v>59</v>
      </c>
      <c r="M854">
        <v>0</v>
      </c>
      <c r="N854" t="s">
        <v>1719</v>
      </c>
      <c r="O854" t="s">
        <v>1720</v>
      </c>
      <c r="P854">
        <v>13.54</v>
      </c>
      <c r="Q854" s="2">
        <v>45550</v>
      </c>
      <c r="R854" s="2">
        <v>45555</v>
      </c>
      <c r="S854" t="s">
        <v>44</v>
      </c>
      <c r="T854">
        <f t="shared" si="91"/>
        <v>6297.9229999999989</v>
      </c>
      <c r="U854">
        <f t="shared" si="92"/>
        <v>5</v>
      </c>
      <c r="V854">
        <f t="shared" si="93"/>
        <v>6615.1399999999994</v>
      </c>
      <c r="W854">
        <f t="shared" si="94"/>
        <v>330.75700000000052</v>
      </c>
      <c r="X854">
        <f t="shared" si="95"/>
        <v>5</v>
      </c>
      <c r="Y854" cm="1">
        <f t="array" ref="Y854">_xlfn.IFS(H854=0.1,1,H854=0.15,1,H854=0.05,1,H854=0,0)</f>
        <v>1</v>
      </c>
      <c r="Z854">
        <f t="shared" si="96"/>
        <v>14</v>
      </c>
      <c r="AA854">
        <f t="shared" si="97"/>
        <v>2024</v>
      </c>
    </row>
    <row r="855" spans="1:27" x14ac:dyDescent="0.3">
      <c r="A855" s="2">
        <v>44964</v>
      </c>
      <c r="B855" t="s">
        <v>71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65</v>
      </c>
      <c r="L855" t="s">
        <v>25</v>
      </c>
      <c r="M855">
        <v>0</v>
      </c>
      <c r="N855" t="s">
        <v>1721</v>
      </c>
      <c r="O855" t="s">
        <v>1722</v>
      </c>
      <c r="P855">
        <v>30.67</v>
      </c>
      <c r="Q855" s="2">
        <v>44964</v>
      </c>
      <c r="R855" s="2">
        <v>44969</v>
      </c>
      <c r="S855" t="s">
        <v>74</v>
      </c>
      <c r="T855">
        <f t="shared" si="91"/>
        <v>2596.0300000000002</v>
      </c>
      <c r="U855">
        <f t="shared" si="92"/>
        <v>10</v>
      </c>
      <c r="V855">
        <f t="shared" si="93"/>
        <v>2850.4</v>
      </c>
      <c r="W855">
        <f t="shared" si="94"/>
        <v>285.03999999999996</v>
      </c>
      <c r="X855">
        <f t="shared" si="95"/>
        <v>5</v>
      </c>
      <c r="Y855" cm="1">
        <f t="array" ref="Y855">_xlfn.IFS(H855=0.1,1,H855=0.15,1,H855=0.05,1,H855=0,0)</f>
        <v>1</v>
      </c>
      <c r="Z855">
        <f t="shared" si="96"/>
        <v>20</v>
      </c>
      <c r="AA855">
        <f t="shared" si="97"/>
        <v>2023</v>
      </c>
    </row>
    <row r="856" spans="1:27" x14ac:dyDescent="0.3">
      <c r="A856" s="2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68</v>
      </c>
      <c r="J856">
        <v>29.849</v>
      </c>
      <c r="K856" t="s">
        <v>58</v>
      </c>
      <c r="L856" t="s">
        <v>35</v>
      </c>
      <c r="M856">
        <v>0</v>
      </c>
      <c r="N856" t="s">
        <v>1723</v>
      </c>
      <c r="O856" t="s">
        <v>427</v>
      </c>
      <c r="P856">
        <v>11.35</v>
      </c>
      <c r="Q856" s="2">
        <v>44986</v>
      </c>
      <c r="R856" s="2">
        <v>44994</v>
      </c>
      <c r="S856" t="s">
        <v>28</v>
      </c>
      <c r="T856">
        <f t="shared" si="91"/>
        <v>41.198999999999998</v>
      </c>
      <c r="U856">
        <f t="shared" si="92"/>
        <v>5</v>
      </c>
      <c r="V856">
        <f t="shared" si="93"/>
        <v>31.42</v>
      </c>
      <c r="W856">
        <f t="shared" si="94"/>
        <v>1.5710000000000015</v>
      </c>
      <c r="X856">
        <f t="shared" si="95"/>
        <v>8</v>
      </c>
      <c r="Y856" cm="1">
        <f t="array" ref="Y856">_xlfn.IFS(H856=0.1,1,H856=0.15,1,H856=0.05,1,H856=0,0)</f>
        <v>1</v>
      </c>
      <c r="Z856">
        <f t="shared" si="96"/>
        <v>1</v>
      </c>
      <c r="AA856">
        <f t="shared" si="97"/>
        <v>2023</v>
      </c>
    </row>
    <row r="857" spans="1:27" x14ac:dyDescent="0.3">
      <c r="A857" s="2">
        <v>45420</v>
      </c>
      <c r="B857" t="s">
        <v>39</v>
      </c>
      <c r="C857" t="s">
        <v>81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1724</v>
      </c>
      <c r="O857" t="s">
        <v>1725</v>
      </c>
      <c r="P857">
        <v>44.99</v>
      </c>
      <c r="Q857" s="2">
        <v>45420</v>
      </c>
      <c r="R857" s="2">
        <v>45424</v>
      </c>
      <c r="S857" t="s">
        <v>44</v>
      </c>
      <c r="T857">
        <f t="shared" si="91"/>
        <v>8315.5805</v>
      </c>
      <c r="U857">
        <f t="shared" si="92"/>
        <v>15</v>
      </c>
      <c r="V857">
        <f t="shared" si="93"/>
        <v>9728.93</v>
      </c>
      <c r="W857">
        <f t="shared" si="94"/>
        <v>1459.3395</v>
      </c>
      <c r="X857">
        <f t="shared" si="95"/>
        <v>4</v>
      </c>
      <c r="Y857" cm="1">
        <f t="array" ref="Y857">_xlfn.IFS(H857=0.1,1,H857=0.15,1,H857=0.05,1,H857=0,0)</f>
        <v>1</v>
      </c>
      <c r="Z857">
        <f t="shared" si="96"/>
        <v>17</v>
      </c>
      <c r="AA857">
        <f t="shared" si="97"/>
        <v>2024</v>
      </c>
    </row>
    <row r="858" spans="1:27" x14ac:dyDescent="0.3">
      <c r="A858" s="2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5404.3200000000006</v>
      </c>
      <c r="K858" t="s">
        <v>62</v>
      </c>
      <c r="L858" t="s">
        <v>25</v>
      </c>
      <c r="M858">
        <v>1</v>
      </c>
      <c r="N858" t="s">
        <v>1726</v>
      </c>
      <c r="O858" t="s">
        <v>1727</v>
      </c>
      <c r="P858">
        <v>33.79</v>
      </c>
      <c r="Q858" s="2">
        <v>45449</v>
      </c>
      <c r="R858" s="2">
        <v>45451</v>
      </c>
      <c r="S858" t="s">
        <v>28</v>
      </c>
      <c r="T858">
        <f t="shared" si="91"/>
        <v>5439.1100000000006</v>
      </c>
      <c r="U858">
        <f t="shared" si="92"/>
        <v>10</v>
      </c>
      <c r="V858">
        <f t="shared" si="93"/>
        <v>6004.8</v>
      </c>
      <c r="W858">
        <f t="shared" si="94"/>
        <v>600.47999999999956</v>
      </c>
      <c r="X858">
        <f t="shared" si="95"/>
        <v>2</v>
      </c>
      <c r="Y858" cm="1">
        <f t="array" ref="Y858">_xlfn.IFS(H858=0.1,1,H858=0.15,1,H858=0.05,1,H858=0,0)</f>
        <v>1</v>
      </c>
      <c r="Z858">
        <f t="shared" si="96"/>
        <v>18</v>
      </c>
      <c r="AA858">
        <f t="shared" si="97"/>
        <v>2024</v>
      </c>
    </row>
    <row r="859" spans="1:27" x14ac:dyDescent="0.3">
      <c r="A859" s="2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62</v>
      </c>
      <c r="L859" t="s">
        <v>41</v>
      </c>
      <c r="M859">
        <v>0</v>
      </c>
      <c r="N859" t="s">
        <v>1728</v>
      </c>
      <c r="O859" t="s">
        <v>1729</v>
      </c>
      <c r="P859">
        <v>26.56</v>
      </c>
      <c r="Q859" s="2">
        <v>45045</v>
      </c>
      <c r="R859" s="2">
        <v>45054</v>
      </c>
      <c r="S859" t="s">
        <v>44</v>
      </c>
      <c r="T859">
        <f t="shared" si="91"/>
        <v>721.71549999999991</v>
      </c>
      <c r="U859">
        <f t="shared" si="92"/>
        <v>15</v>
      </c>
      <c r="V859">
        <f t="shared" si="93"/>
        <v>817.83</v>
      </c>
      <c r="W859">
        <f t="shared" si="94"/>
        <v>122.67450000000008</v>
      </c>
      <c r="X859">
        <f t="shared" si="95"/>
        <v>9</v>
      </c>
      <c r="Y859" cm="1">
        <f t="array" ref="Y859">_xlfn.IFS(H859=0.1,1,H859=0.15,1,H859=0.05,1,H859=0,0)</f>
        <v>1</v>
      </c>
      <c r="Z859">
        <f t="shared" si="96"/>
        <v>9</v>
      </c>
      <c r="AA859">
        <f t="shared" si="97"/>
        <v>2023</v>
      </c>
    </row>
    <row r="860" spans="1:27" x14ac:dyDescent="0.3">
      <c r="A860" s="2">
        <v>45189</v>
      </c>
      <c r="B860" t="s">
        <v>45</v>
      </c>
      <c r="C860" t="s">
        <v>81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5032.4445000000014</v>
      </c>
      <c r="K860" t="s">
        <v>24</v>
      </c>
      <c r="L860" t="s">
        <v>59</v>
      </c>
      <c r="M860">
        <v>0</v>
      </c>
      <c r="N860" t="s">
        <v>1730</v>
      </c>
      <c r="O860" t="s">
        <v>1731</v>
      </c>
      <c r="P860">
        <v>42.3</v>
      </c>
      <c r="Q860" s="2">
        <v>45189</v>
      </c>
      <c r="R860" s="2">
        <v>45191</v>
      </c>
      <c r="S860" t="s">
        <v>50</v>
      </c>
      <c r="T860">
        <f t="shared" si="91"/>
        <v>5074.7445000000016</v>
      </c>
      <c r="U860">
        <f t="shared" si="92"/>
        <v>5</v>
      </c>
      <c r="V860">
        <f t="shared" si="93"/>
        <v>5297.31</v>
      </c>
      <c r="W860">
        <f t="shared" si="94"/>
        <v>264.86549999999897</v>
      </c>
      <c r="X860">
        <f t="shared" si="95"/>
        <v>2</v>
      </c>
      <c r="Y860" cm="1">
        <f t="array" ref="Y860">_xlfn.IFS(H860=0.1,1,H860=0.15,1,H860=0.05,1,H860=0,0)</f>
        <v>1</v>
      </c>
      <c r="Z860">
        <f t="shared" si="96"/>
        <v>9</v>
      </c>
      <c r="AA860">
        <f t="shared" si="97"/>
        <v>2023</v>
      </c>
    </row>
    <row r="861" spans="1:27" x14ac:dyDescent="0.3">
      <c r="A861" s="2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1732</v>
      </c>
      <c r="O861" t="s">
        <v>1733</v>
      </c>
      <c r="P861">
        <v>33.71</v>
      </c>
      <c r="Q861" s="2">
        <v>45604</v>
      </c>
      <c r="R861" s="2">
        <v>45609</v>
      </c>
      <c r="S861" t="s">
        <v>38</v>
      </c>
      <c r="T861">
        <f t="shared" si="91"/>
        <v>2655.7980000000002</v>
      </c>
      <c r="U861">
        <f t="shared" si="92"/>
        <v>5</v>
      </c>
      <c r="V861">
        <f t="shared" si="93"/>
        <v>2759.04</v>
      </c>
      <c r="W861">
        <f t="shared" si="94"/>
        <v>137.95199999999977</v>
      </c>
      <c r="X861">
        <f t="shared" si="95"/>
        <v>5</v>
      </c>
      <c r="Y861" cm="1">
        <f t="array" ref="Y861">_xlfn.IFS(H861=0.1,1,H861=0.15,1,H861=0.05,1,H861=0,0)</f>
        <v>1</v>
      </c>
      <c r="Z861">
        <f t="shared" si="96"/>
        <v>18</v>
      </c>
      <c r="AA861">
        <f t="shared" si="97"/>
        <v>2024</v>
      </c>
    </row>
    <row r="862" spans="1:27" x14ac:dyDescent="0.3">
      <c r="A862" s="2">
        <v>45007</v>
      </c>
      <c r="B862" t="s">
        <v>39</v>
      </c>
      <c r="C862" t="s">
        <v>132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1734</v>
      </c>
      <c r="O862" t="s">
        <v>1735</v>
      </c>
      <c r="P862">
        <v>5.59</v>
      </c>
      <c r="Q862" s="2">
        <v>45007</v>
      </c>
      <c r="R862" s="2">
        <v>45015</v>
      </c>
      <c r="S862" t="s">
        <v>44</v>
      </c>
      <c r="T862">
        <f t="shared" si="91"/>
        <v>2823.9065000000001</v>
      </c>
      <c r="U862">
        <f t="shared" si="92"/>
        <v>15</v>
      </c>
      <c r="V862">
        <f t="shared" si="93"/>
        <v>3314.49</v>
      </c>
      <c r="W862">
        <f t="shared" si="94"/>
        <v>497.17349999999988</v>
      </c>
      <c r="X862">
        <f t="shared" si="95"/>
        <v>8</v>
      </c>
      <c r="Y862" cm="1">
        <f t="array" ref="Y862">_xlfn.IFS(H862=0.1,1,H862=0.15,1,H862=0.05,1,H862=0,0)</f>
        <v>1</v>
      </c>
      <c r="Z862">
        <f t="shared" si="96"/>
        <v>17</v>
      </c>
      <c r="AA862">
        <f t="shared" si="97"/>
        <v>2023</v>
      </c>
    </row>
    <row r="863" spans="1:27" x14ac:dyDescent="0.3">
      <c r="A863" s="2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1736</v>
      </c>
      <c r="O863" t="s">
        <v>1737</v>
      </c>
      <c r="P863">
        <v>19.55</v>
      </c>
      <c r="Q863" s="2">
        <v>45174</v>
      </c>
      <c r="R863" s="2">
        <v>45182</v>
      </c>
      <c r="S863" t="s">
        <v>28</v>
      </c>
      <c r="T863">
        <f t="shared" si="91"/>
        <v>1857.6</v>
      </c>
      <c r="U863">
        <f t="shared" si="92"/>
        <v>0</v>
      </c>
      <c r="V863">
        <f t="shared" si="93"/>
        <v>1838.0500000000002</v>
      </c>
      <c r="W863">
        <f t="shared" si="94"/>
        <v>0</v>
      </c>
      <c r="X863">
        <f t="shared" si="95"/>
        <v>8</v>
      </c>
      <c r="Y863" cm="1">
        <f t="array" ref="Y863">_xlfn.IFS(H863=0.1,1,H863=0.15,1,H863=0.05,1,H863=0,0)</f>
        <v>0</v>
      </c>
      <c r="Z863">
        <f t="shared" si="96"/>
        <v>0</v>
      </c>
      <c r="AA863">
        <f t="shared" si="97"/>
        <v>2023</v>
      </c>
    </row>
    <row r="864" spans="1:27" x14ac:dyDescent="0.3">
      <c r="A864" s="2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9294.3249999999989</v>
      </c>
      <c r="K864" t="s">
        <v>62</v>
      </c>
      <c r="L864" t="s">
        <v>25</v>
      </c>
      <c r="M864">
        <v>0</v>
      </c>
      <c r="N864" t="s">
        <v>1738</v>
      </c>
      <c r="O864" t="s">
        <v>1739</v>
      </c>
      <c r="P864">
        <v>13.42</v>
      </c>
      <c r="Q864" s="2">
        <v>44983</v>
      </c>
      <c r="R864" s="2">
        <v>44990</v>
      </c>
      <c r="S864" t="s">
        <v>28</v>
      </c>
      <c r="T864">
        <f t="shared" si="91"/>
        <v>9307.744999999999</v>
      </c>
      <c r="U864">
        <f t="shared" si="92"/>
        <v>5</v>
      </c>
      <c r="V864">
        <f t="shared" si="93"/>
        <v>9783.5</v>
      </c>
      <c r="W864">
        <f t="shared" si="94"/>
        <v>489.17500000000109</v>
      </c>
      <c r="X864">
        <f t="shared" si="95"/>
        <v>7</v>
      </c>
      <c r="Y864" cm="1">
        <f t="array" ref="Y864">_xlfn.IFS(H864=0.1,1,H864=0.15,1,H864=0.05,1,H864=0,0)</f>
        <v>1</v>
      </c>
      <c r="Z864">
        <f t="shared" si="96"/>
        <v>17</v>
      </c>
      <c r="AA864">
        <f t="shared" si="97"/>
        <v>2023</v>
      </c>
    </row>
    <row r="865" spans="1:27" x14ac:dyDescent="0.3">
      <c r="A865" s="2">
        <v>45622</v>
      </c>
      <c r="B865" t="s">
        <v>71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68</v>
      </c>
      <c r="J865">
        <v>585.09749999999985</v>
      </c>
      <c r="K865" t="s">
        <v>62</v>
      </c>
      <c r="L865" t="s">
        <v>41</v>
      </c>
      <c r="M865">
        <v>1</v>
      </c>
      <c r="N865" t="s">
        <v>1740</v>
      </c>
      <c r="O865" t="s">
        <v>1741</v>
      </c>
      <c r="P865">
        <v>19.809999999999999</v>
      </c>
      <c r="Q865" s="2">
        <v>45622</v>
      </c>
      <c r="R865" s="2">
        <v>45625</v>
      </c>
      <c r="S865" t="s">
        <v>74</v>
      </c>
      <c r="T865">
        <f t="shared" si="91"/>
        <v>605.9074999999998</v>
      </c>
      <c r="U865">
        <f t="shared" si="92"/>
        <v>15</v>
      </c>
      <c r="V865">
        <f t="shared" si="93"/>
        <v>688.34999999999991</v>
      </c>
      <c r="W865">
        <f t="shared" si="94"/>
        <v>103.25250000000005</v>
      </c>
      <c r="X865">
        <f t="shared" si="95"/>
        <v>3</v>
      </c>
      <c r="Y865" cm="1">
        <f t="array" ref="Y865">_xlfn.IFS(H865=0.1,1,H865=0.15,1,H865=0.05,1,H865=0,0)</f>
        <v>1</v>
      </c>
      <c r="Z865">
        <f t="shared" si="96"/>
        <v>3</v>
      </c>
      <c r="AA865">
        <f t="shared" si="97"/>
        <v>2024</v>
      </c>
    </row>
    <row r="866" spans="1:27" x14ac:dyDescent="0.3">
      <c r="A866" s="2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62</v>
      </c>
      <c r="L866" t="s">
        <v>59</v>
      </c>
      <c r="M866">
        <v>1</v>
      </c>
      <c r="N866" t="s">
        <v>1742</v>
      </c>
      <c r="O866" t="s">
        <v>1743</v>
      </c>
      <c r="P866">
        <v>25.36</v>
      </c>
      <c r="Q866" s="2">
        <v>45579</v>
      </c>
      <c r="R866" s="2">
        <v>45582</v>
      </c>
      <c r="S866" t="s">
        <v>50</v>
      </c>
      <c r="T866">
        <f t="shared" si="91"/>
        <v>1201.25</v>
      </c>
      <c r="U866">
        <f t="shared" si="92"/>
        <v>0</v>
      </c>
      <c r="V866">
        <f t="shared" si="93"/>
        <v>1174.8899999999999</v>
      </c>
      <c r="W866">
        <f t="shared" si="94"/>
        <v>0</v>
      </c>
      <c r="X866">
        <f t="shared" si="95"/>
        <v>3</v>
      </c>
      <c r="Y866" cm="1">
        <f t="array" ref="Y866">_xlfn.IFS(H866=0.1,1,H866=0.15,1,H866=0.05,1,H866=0,0)</f>
        <v>0</v>
      </c>
      <c r="Z866">
        <f t="shared" si="96"/>
        <v>0</v>
      </c>
      <c r="AA866">
        <f t="shared" si="97"/>
        <v>2024</v>
      </c>
    </row>
    <row r="867" spans="1:27" x14ac:dyDescent="0.3">
      <c r="A867" s="2">
        <v>45075</v>
      </c>
      <c r="B867" t="s">
        <v>45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909.22499999999991</v>
      </c>
      <c r="K867" t="s">
        <v>24</v>
      </c>
      <c r="L867" t="s">
        <v>25</v>
      </c>
      <c r="M867">
        <v>0</v>
      </c>
      <c r="N867" t="s">
        <v>1744</v>
      </c>
      <c r="O867" t="s">
        <v>1745</v>
      </c>
      <c r="P867">
        <v>24.85</v>
      </c>
      <c r="Q867" s="2">
        <v>45075</v>
      </c>
      <c r="R867" s="2">
        <v>45080</v>
      </c>
      <c r="S867" t="s">
        <v>50</v>
      </c>
      <c r="T867">
        <f t="shared" si="91"/>
        <v>934.07499999999993</v>
      </c>
      <c r="U867">
        <f t="shared" si="92"/>
        <v>10</v>
      </c>
      <c r="V867">
        <f t="shared" si="93"/>
        <v>1010.2499999999999</v>
      </c>
      <c r="W867">
        <f t="shared" si="94"/>
        <v>101.02499999999998</v>
      </c>
      <c r="X867">
        <f t="shared" si="95"/>
        <v>5</v>
      </c>
      <c r="Y867" cm="1">
        <f t="array" ref="Y867">_xlfn.IFS(H867=0.1,1,H867=0.15,1,H867=0.05,1,H867=0,0)</f>
        <v>1</v>
      </c>
      <c r="Z867">
        <f t="shared" si="96"/>
        <v>15</v>
      </c>
      <c r="AA867">
        <f t="shared" si="97"/>
        <v>2023</v>
      </c>
    </row>
    <row r="868" spans="1:27" x14ac:dyDescent="0.3">
      <c r="A868" s="2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L868" t="s">
        <v>59</v>
      </c>
      <c r="M868">
        <v>0</v>
      </c>
      <c r="N868" t="s">
        <v>1746</v>
      </c>
      <c r="O868" t="s">
        <v>1747</v>
      </c>
      <c r="P868">
        <v>45.32</v>
      </c>
      <c r="Q868" s="2">
        <v>45373</v>
      </c>
      <c r="R868" s="2">
        <v>45382</v>
      </c>
      <c r="S868" t="s">
        <v>50</v>
      </c>
      <c r="T868">
        <f t="shared" si="91"/>
        <v>2360.0060000000003</v>
      </c>
      <c r="U868">
        <f t="shared" si="92"/>
        <v>15</v>
      </c>
      <c r="V868">
        <f t="shared" si="93"/>
        <v>2723.16</v>
      </c>
      <c r="W868">
        <f t="shared" si="94"/>
        <v>408.47399999999971</v>
      </c>
      <c r="X868">
        <f t="shared" si="95"/>
        <v>9</v>
      </c>
      <c r="Y868" cm="1">
        <f t="array" ref="Y868">_xlfn.IFS(H868=0.1,1,H868=0.15,1,H868=0.05,1,H868=0,0)</f>
        <v>1</v>
      </c>
      <c r="Z868">
        <f t="shared" si="96"/>
        <v>6</v>
      </c>
      <c r="AA868">
        <f t="shared" si="97"/>
        <v>2024</v>
      </c>
    </row>
    <row r="869" spans="1:27" x14ac:dyDescent="0.3">
      <c r="A869" s="2">
        <v>45038</v>
      </c>
      <c r="B869" t="s">
        <v>29</v>
      </c>
      <c r="C869" t="s">
        <v>81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68</v>
      </c>
      <c r="J869">
        <v>10216.299999999999</v>
      </c>
      <c r="K869" t="s">
        <v>24</v>
      </c>
      <c r="L869" t="s">
        <v>35</v>
      </c>
      <c r="M869">
        <v>0</v>
      </c>
      <c r="N869" t="s">
        <v>1748</v>
      </c>
      <c r="O869" t="s">
        <v>1749</v>
      </c>
      <c r="P869">
        <v>45.83</v>
      </c>
      <c r="Q869" s="2">
        <v>45038</v>
      </c>
      <c r="R869" s="2">
        <v>45048</v>
      </c>
      <c r="S869" t="s">
        <v>38</v>
      </c>
      <c r="T869">
        <f t="shared" si="91"/>
        <v>10262.129999999999</v>
      </c>
      <c r="U869">
        <f t="shared" si="92"/>
        <v>0</v>
      </c>
      <c r="V869">
        <f t="shared" si="93"/>
        <v>10216.300000000001</v>
      </c>
      <c r="W869">
        <f t="shared" si="94"/>
        <v>0</v>
      </c>
      <c r="X869">
        <f t="shared" si="95"/>
        <v>10</v>
      </c>
      <c r="Y869" cm="1">
        <f t="array" ref="Y869">_xlfn.IFS(H869=0.1,1,H869=0.15,1,H869=0.05,1,H869=0,0)</f>
        <v>0</v>
      </c>
      <c r="Z869">
        <f t="shared" si="96"/>
        <v>0</v>
      </c>
      <c r="AA869">
        <f t="shared" si="97"/>
        <v>2023</v>
      </c>
    </row>
    <row r="870" spans="1:27" x14ac:dyDescent="0.3">
      <c r="A870" s="2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65</v>
      </c>
      <c r="L870" t="s">
        <v>25</v>
      </c>
      <c r="M870">
        <v>0</v>
      </c>
      <c r="N870" t="s">
        <v>1750</v>
      </c>
      <c r="O870" t="s">
        <v>1751</v>
      </c>
      <c r="P870">
        <v>46.73</v>
      </c>
      <c r="Q870" s="2">
        <v>45814</v>
      </c>
      <c r="R870" s="2">
        <v>45820</v>
      </c>
      <c r="S870" t="s">
        <v>44</v>
      </c>
      <c r="T870">
        <f t="shared" si="91"/>
        <v>201.39</v>
      </c>
      <c r="U870">
        <f t="shared" si="92"/>
        <v>5</v>
      </c>
      <c r="V870">
        <f t="shared" si="93"/>
        <v>162.80000000000001</v>
      </c>
      <c r="W870">
        <f t="shared" si="94"/>
        <v>8.1400000000000148</v>
      </c>
      <c r="X870">
        <f t="shared" si="95"/>
        <v>6</v>
      </c>
      <c r="Y870" cm="1">
        <f t="array" ref="Y870">_xlfn.IFS(H870=0.1,1,H870=0.15,1,H870=0.05,1,H870=0,0)</f>
        <v>1</v>
      </c>
      <c r="Z870">
        <f t="shared" si="96"/>
        <v>5</v>
      </c>
      <c r="AA870">
        <f t="shared" si="97"/>
        <v>2025</v>
      </c>
    </row>
    <row r="871" spans="1:27" x14ac:dyDescent="0.3">
      <c r="A871" s="2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1752</v>
      </c>
      <c r="O871" t="s">
        <v>1753</v>
      </c>
      <c r="P871">
        <v>35.840000000000003</v>
      </c>
      <c r="Q871" s="2">
        <v>44951</v>
      </c>
      <c r="R871" s="2">
        <v>44955</v>
      </c>
      <c r="S871" t="s">
        <v>50</v>
      </c>
      <c r="T871">
        <f t="shared" si="91"/>
        <v>429.24</v>
      </c>
      <c r="U871">
        <f t="shared" si="92"/>
        <v>0</v>
      </c>
      <c r="V871">
        <f t="shared" si="93"/>
        <v>393.4</v>
      </c>
      <c r="W871">
        <f t="shared" si="94"/>
        <v>0</v>
      </c>
      <c r="X871">
        <f t="shared" si="95"/>
        <v>4</v>
      </c>
      <c r="Y871" cm="1">
        <f t="array" ref="Y871">_xlfn.IFS(H871=0.1,1,H871=0.15,1,H871=0.05,1,H871=0,0)</f>
        <v>0</v>
      </c>
      <c r="Z871">
        <f t="shared" si="96"/>
        <v>0</v>
      </c>
      <c r="AA871">
        <f t="shared" si="97"/>
        <v>2023</v>
      </c>
    </row>
    <row r="872" spans="1:27" x14ac:dyDescent="0.3">
      <c r="A872" s="2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1754</v>
      </c>
      <c r="O872" t="s">
        <v>1133</v>
      </c>
      <c r="P872">
        <v>44.76</v>
      </c>
      <c r="Q872" s="2">
        <v>45177</v>
      </c>
      <c r="R872" s="2">
        <v>45179</v>
      </c>
      <c r="S872" t="s">
        <v>38</v>
      </c>
      <c r="T872">
        <f t="shared" si="91"/>
        <v>4035.82</v>
      </c>
      <c r="U872">
        <f t="shared" si="92"/>
        <v>10</v>
      </c>
      <c r="V872">
        <f t="shared" si="93"/>
        <v>4433.3999999999996</v>
      </c>
      <c r="W872">
        <f t="shared" si="94"/>
        <v>443.33999999999969</v>
      </c>
      <c r="X872">
        <f t="shared" si="95"/>
        <v>2</v>
      </c>
      <c r="Y872" cm="1">
        <f t="array" ref="Y872">_xlfn.IFS(H872=0.1,1,H872=0.15,1,H872=0.05,1,H872=0,0)</f>
        <v>1</v>
      </c>
      <c r="Z872">
        <f t="shared" si="96"/>
        <v>12</v>
      </c>
      <c r="AA872">
        <f t="shared" si="97"/>
        <v>2023</v>
      </c>
    </row>
    <row r="873" spans="1:27" x14ac:dyDescent="0.3">
      <c r="A873" s="2">
        <v>45569</v>
      </c>
      <c r="B873" t="s">
        <v>19</v>
      </c>
      <c r="C873" t="s">
        <v>81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1755</v>
      </c>
      <c r="O873" t="s">
        <v>1756</v>
      </c>
      <c r="P873">
        <v>25.06</v>
      </c>
      <c r="Q873" s="2">
        <v>45569</v>
      </c>
      <c r="R873" s="2">
        <v>45576</v>
      </c>
      <c r="S873" t="s">
        <v>28</v>
      </c>
      <c r="T873">
        <f t="shared" si="91"/>
        <v>1881.0519999999999</v>
      </c>
      <c r="U873">
        <f t="shared" si="92"/>
        <v>15</v>
      </c>
      <c r="V873">
        <f t="shared" si="93"/>
        <v>2183.52</v>
      </c>
      <c r="W873">
        <f t="shared" si="94"/>
        <v>327.52800000000002</v>
      </c>
      <c r="X873">
        <f t="shared" si="95"/>
        <v>7</v>
      </c>
      <c r="Y873" cm="1">
        <f t="array" ref="Y873">_xlfn.IFS(H873=0.1,1,H873=0.15,1,H873=0.05,1,H873=0,0)</f>
        <v>1</v>
      </c>
      <c r="Z873">
        <f t="shared" si="96"/>
        <v>12</v>
      </c>
      <c r="AA873">
        <f t="shared" si="97"/>
        <v>2024</v>
      </c>
    </row>
    <row r="874" spans="1:27" x14ac:dyDescent="0.3">
      <c r="A874" s="2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81.778500000000008</v>
      </c>
      <c r="K874" t="s">
        <v>24</v>
      </c>
      <c r="L874" t="s">
        <v>41</v>
      </c>
      <c r="M874">
        <v>1</v>
      </c>
      <c r="N874" t="s">
        <v>1757</v>
      </c>
      <c r="O874" t="s">
        <v>1758</v>
      </c>
      <c r="P874">
        <v>43.18</v>
      </c>
      <c r="Q874" s="2">
        <v>45753</v>
      </c>
      <c r="R874" s="2">
        <v>45755</v>
      </c>
      <c r="S874" t="s">
        <v>28</v>
      </c>
      <c r="T874">
        <f t="shared" si="91"/>
        <v>125.95850000000002</v>
      </c>
      <c r="U874">
        <f t="shared" si="92"/>
        <v>15</v>
      </c>
      <c r="V874">
        <f t="shared" si="93"/>
        <v>96.210000000000008</v>
      </c>
      <c r="W874">
        <f t="shared" si="94"/>
        <v>14.4315</v>
      </c>
      <c r="X874">
        <f t="shared" si="95"/>
        <v>2</v>
      </c>
      <c r="Y874" cm="1">
        <f t="array" ref="Y874">_xlfn.IFS(H874=0.1,1,H874=0.15,1,H874=0.05,1,H874=0,0)</f>
        <v>1</v>
      </c>
      <c r="Z874">
        <f t="shared" si="96"/>
        <v>3</v>
      </c>
      <c r="AA874">
        <f t="shared" si="97"/>
        <v>2025</v>
      </c>
    </row>
    <row r="875" spans="1:27" x14ac:dyDescent="0.3">
      <c r="A875" s="2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62</v>
      </c>
      <c r="L875" t="s">
        <v>41</v>
      </c>
      <c r="M875">
        <v>0</v>
      </c>
      <c r="N875" t="s">
        <v>1759</v>
      </c>
      <c r="O875" t="s">
        <v>1760</v>
      </c>
      <c r="P875">
        <v>33.44</v>
      </c>
      <c r="Q875" s="2">
        <v>45529</v>
      </c>
      <c r="R875" s="2">
        <v>45533</v>
      </c>
      <c r="S875" t="s">
        <v>28</v>
      </c>
      <c r="T875">
        <f t="shared" si="91"/>
        <v>542.54750000000001</v>
      </c>
      <c r="U875">
        <f t="shared" si="92"/>
        <v>15</v>
      </c>
      <c r="V875">
        <f t="shared" si="93"/>
        <v>598.95000000000005</v>
      </c>
      <c r="W875">
        <f t="shared" si="94"/>
        <v>89.84250000000003</v>
      </c>
      <c r="X875">
        <f t="shared" si="95"/>
        <v>4</v>
      </c>
      <c r="Y875" cm="1">
        <f t="array" ref="Y875">_xlfn.IFS(H875=0.1,1,H875=0.15,1,H875=0.05,1,H875=0,0)</f>
        <v>1</v>
      </c>
      <c r="Z875">
        <f t="shared" si="96"/>
        <v>15</v>
      </c>
      <c r="AA875">
        <f t="shared" si="97"/>
        <v>2024</v>
      </c>
    </row>
    <row r="876" spans="1:27" x14ac:dyDescent="0.3">
      <c r="A876" s="2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65</v>
      </c>
      <c r="L876" t="s">
        <v>35</v>
      </c>
      <c r="M876">
        <v>0</v>
      </c>
      <c r="N876" t="s">
        <v>1761</v>
      </c>
      <c r="O876" t="s">
        <v>1762</v>
      </c>
      <c r="P876">
        <v>28.97</v>
      </c>
      <c r="Q876" s="2">
        <v>45357</v>
      </c>
      <c r="R876" s="2">
        <v>45363</v>
      </c>
      <c r="S876" t="s">
        <v>44</v>
      </c>
      <c r="T876">
        <f t="shared" si="91"/>
        <v>2256.8284999999996</v>
      </c>
      <c r="U876">
        <f t="shared" si="92"/>
        <v>15</v>
      </c>
      <c r="V876">
        <f t="shared" si="93"/>
        <v>2621.0100000000002</v>
      </c>
      <c r="W876">
        <f t="shared" si="94"/>
        <v>393.1515000000004</v>
      </c>
      <c r="X876">
        <f t="shared" si="95"/>
        <v>6</v>
      </c>
      <c r="Y876" cm="1">
        <f t="array" ref="Y876">_xlfn.IFS(H876=0.1,1,H876=0.15,1,H876=0.05,1,H876=0,0)</f>
        <v>1</v>
      </c>
      <c r="Z876">
        <f t="shared" si="96"/>
        <v>7</v>
      </c>
      <c r="AA876">
        <f t="shared" si="97"/>
        <v>2024</v>
      </c>
    </row>
    <row r="877" spans="1:27" x14ac:dyDescent="0.3">
      <c r="A877" s="2">
        <v>45008</v>
      </c>
      <c r="B877" t="s">
        <v>19</v>
      </c>
      <c r="C877" t="s">
        <v>132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65</v>
      </c>
      <c r="L877" t="s">
        <v>25</v>
      </c>
      <c r="M877">
        <v>0</v>
      </c>
      <c r="N877" t="s">
        <v>1763</v>
      </c>
      <c r="O877" t="s">
        <v>1764</v>
      </c>
      <c r="P877">
        <v>28.63</v>
      </c>
      <c r="Q877" s="2">
        <v>45008</v>
      </c>
      <c r="R877" s="2">
        <v>45011</v>
      </c>
      <c r="S877" t="s">
        <v>28</v>
      </c>
      <c r="T877">
        <f t="shared" si="91"/>
        <v>232.37</v>
      </c>
      <c r="U877">
        <f t="shared" si="92"/>
        <v>0</v>
      </c>
      <c r="V877">
        <f t="shared" si="93"/>
        <v>203.74</v>
      </c>
      <c r="W877">
        <f t="shared" si="94"/>
        <v>0</v>
      </c>
      <c r="X877">
        <f t="shared" si="95"/>
        <v>3</v>
      </c>
      <c r="Y877" cm="1">
        <f t="array" ref="Y877">_xlfn.IFS(H877=0.1,1,H877=0.15,1,H877=0.05,1,H877=0,0)</f>
        <v>0</v>
      </c>
      <c r="Z877">
        <f t="shared" si="96"/>
        <v>0</v>
      </c>
      <c r="AA877">
        <f t="shared" si="97"/>
        <v>2023</v>
      </c>
    </row>
    <row r="878" spans="1:27" x14ac:dyDescent="0.3">
      <c r="A878" s="2">
        <v>45304</v>
      </c>
      <c r="B878" t="s">
        <v>45</v>
      </c>
      <c r="C878" t="s">
        <v>81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4241.6074999999992</v>
      </c>
      <c r="K878" t="s">
        <v>34</v>
      </c>
      <c r="L878" t="s">
        <v>35</v>
      </c>
      <c r="M878">
        <v>0</v>
      </c>
      <c r="N878" t="s">
        <v>1765</v>
      </c>
      <c r="O878" t="s">
        <v>1766</v>
      </c>
      <c r="P878">
        <v>27.26</v>
      </c>
      <c r="Q878" s="2">
        <v>45304</v>
      </c>
      <c r="R878" s="2">
        <v>45308</v>
      </c>
      <c r="S878" t="s">
        <v>50</v>
      </c>
      <c r="T878">
        <f t="shared" si="91"/>
        <v>4268.8674999999994</v>
      </c>
      <c r="U878">
        <f t="shared" si="92"/>
        <v>5</v>
      </c>
      <c r="V878">
        <f t="shared" si="93"/>
        <v>4464.8499999999995</v>
      </c>
      <c r="W878">
        <f t="shared" si="94"/>
        <v>223.24250000000029</v>
      </c>
      <c r="X878">
        <f t="shared" si="95"/>
        <v>4</v>
      </c>
      <c r="Y878" cm="1">
        <f t="array" ref="Y878">_xlfn.IFS(H878=0.1,1,H878=0.15,1,H878=0.05,1,H878=0,0)</f>
        <v>1</v>
      </c>
      <c r="Z878">
        <f t="shared" si="96"/>
        <v>13</v>
      </c>
      <c r="AA878">
        <f t="shared" si="97"/>
        <v>2024</v>
      </c>
    </row>
    <row r="879" spans="1:27" x14ac:dyDescent="0.3">
      <c r="A879" s="2">
        <v>45125</v>
      </c>
      <c r="B879" t="s">
        <v>45</v>
      </c>
      <c r="C879" t="s">
        <v>132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L879" t="s">
        <v>59</v>
      </c>
      <c r="M879">
        <v>0</v>
      </c>
      <c r="N879" t="s">
        <v>1767</v>
      </c>
      <c r="O879" t="s">
        <v>1768</v>
      </c>
      <c r="P879">
        <v>28.51</v>
      </c>
      <c r="Q879" s="2">
        <v>45125</v>
      </c>
      <c r="R879" s="2">
        <v>45131</v>
      </c>
      <c r="S879" t="s">
        <v>50</v>
      </c>
      <c r="T879">
        <f t="shared" si="91"/>
        <v>2190.1600000000003</v>
      </c>
      <c r="U879">
        <f t="shared" si="92"/>
        <v>0</v>
      </c>
      <c r="V879">
        <f t="shared" si="93"/>
        <v>2161.65</v>
      </c>
      <c r="W879">
        <f t="shared" si="94"/>
        <v>0</v>
      </c>
      <c r="X879">
        <f t="shared" si="95"/>
        <v>6</v>
      </c>
      <c r="Y879" cm="1">
        <f t="array" ref="Y879">_xlfn.IFS(H879=0.1,1,H879=0.15,1,H879=0.05,1,H879=0,0)</f>
        <v>0</v>
      </c>
      <c r="Z879">
        <f t="shared" si="96"/>
        <v>0</v>
      </c>
      <c r="AA879">
        <f t="shared" si="97"/>
        <v>2023</v>
      </c>
    </row>
    <row r="880" spans="1:27" x14ac:dyDescent="0.3">
      <c r="A880" s="2">
        <v>45711</v>
      </c>
      <c r="B880" t="s">
        <v>71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65</v>
      </c>
      <c r="L880" t="s">
        <v>25</v>
      </c>
      <c r="M880">
        <v>0</v>
      </c>
      <c r="N880" t="s">
        <v>1769</v>
      </c>
      <c r="O880" t="s">
        <v>1770</v>
      </c>
      <c r="P880">
        <v>13.09</v>
      </c>
      <c r="Q880" s="2">
        <v>45711</v>
      </c>
      <c r="R880" s="2">
        <v>45720</v>
      </c>
      <c r="S880" t="s">
        <v>74</v>
      </c>
      <c r="T880">
        <f t="shared" si="91"/>
        <v>6189.3940000000002</v>
      </c>
      <c r="U880">
        <f t="shared" si="92"/>
        <v>15</v>
      </c>
      <c r="V880">
        <f t="shared" si="93"/>
        <v>7266.24</v>
      </c>
      <c r="W880">
        <f t="shared" si="94"/>
        <v>1089.9359999999997</v>
      </c>
      <c r="X880">
        <f t="shared" si="95"/>
        <v>9</v>
      </c>
      <c r="Y880" cm="1">
        <f t="array" ref="Y880">_xlfn.IFS(H880=0.1,1,H880=0.15,1,H880=0.05,1,H880=0,0)</f>
        <v>1</v>
      </c>
      <c r="Z880">
        <f t="shared" si="96"/>
        <v>18</v>
      </c>
      <c r="AA880">
        <f t="shared" si="97"/>
        <v>2025</v>
      </c>
    </row>
    <row r="881" spans="1:27" x14ac:dyDescent="0.3">
      <c r="A881" s="2">
        <v>44979</v>
      </c>
      <c r="B881" t="s">
        <v>19</v>
      </c>
      <c r="C881" t="s">
        <v>132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62</v>
      </c>
      <c r="L881" t="s">
        <v>25</v>
      </c>
      <c r="M881">
        <v>0</v>
      </c>
      <c r="N881" t="s">
        <v>1771</v>
      </c>
      <c r="O881" t="s">
        <v>1772</v>
      </c>
      <c r="P881">
        <v>36.83</v>
      </c>
      <c r="Q881" s="2">
        <v>44979</v>
      </c>
      <c r="R881" s="2">
        <v>44987</v>
      </c>
      <c r="S881" t="s">
        <v>28</v>
      </c>
      <c r="T881">
        <f t="shared" si="91"/>
        <v>4403.6120000000001</v>
      </c>
      <c r="U881">
        <f t="shared" si="92"/>
        <v>10</v>
      </c>
      <c r="V881">
        <f t="shared" si="93"/>
        <v>4851.9799999999996</v>
      </c>
      <c r="W881">
        <f t="shared" si="94"/>
        <v>485.19799999999941</v>
      </c>
      <c r="X881">
        <f t="shared" si="95"/>
        <v>8</v>
      </c>
      <c r="Y881" cm="1">
        <f t="array" ref="Y881">_xlfn.IFS(H881=0.1,1,H881=0.15,1,H881=0.05,1,H881=0,0)</f>
        <v>1</v>
      </c>
      <c r="Z881">
        <f t="shared" si="96"/>
        <v>14</v>
      </c>
      <c r="AA881">
        <f t="shared" si="97"/>
        <v>2023</v>
      </c>
    </row>
    <row r="882" spans="1:27" x14ac:dyDescent="0.3">
      <c r="A882" s="2">
        <v>45583</v>
      </c>
      <c r="B882" t="s">
        <v>39</v>
      </c>
      <c r="C882" t="s">
        <v>132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1773</v>
      </c>
      <c r="O882" t="s">
        <v>1774</v>
      </c>
      <c r="P882">
        <v>45.85</v>
      </c>
      <c r="Q882" s="2">
        <v>45583</v>
      </c>
      <c r="R882" s="2">
        <v>45593</v>
      </c>
      <c r="S882" t="s">
        <v>44</v>
      </c>
      <c r="T882">
        <f t="shared" si="91"/>
        <v>2795.38</v>
      </c>
      <c r="U882">
        <f t="shared" si="92"/>
        <v>0</v>
      </c>
      <c r="V882">
        <f t="shared" si="93"/>
        <v>2749.53</v>
      </c>
      <c r="W882">
        <f t="shared" si="94"/>
        <v>0</v>
      </c>
      <c r="X882">
        <f t="shared" si="95"/>
        <v>10</v>
      </c>
      <c r="Y882" cm="1">
        <f t="array" ref="Y882">_xlfn.IFS(H882=0.1,1,H882=0.15,1,H882=0.05,1,H882=0,0)</f>
        <v>0</v>
      </c>
      <c r="Z882">
        <f t="shared" si="96"/>
        <v>0</v>
      </c>
      <c r="AA882">
        <f t="shared" si="97"/>
        <v>2024</v>
      </c>
    </row>
    <row r="883" spans="1:27" x14ac:dyDescent="0.3">
      <c r="A883" s="2">
        <v>45225</v>
      </c>
      <c r="B883" t="s">
        <v>71</v>
      </c>
      <c r="C883" t="s">
        <v>132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L883" t="s">
        <v>59</v>
      </c>
      <c r="M883">
        <v>0</v>
      </c>
      <c r="N883" t="s">
        <v>1775</v>
      </c>
      <c r="O883" t="s">
        <v>1776</v>
      </c>
      <c r="P883">
        <v>5.05</v>
      </c>
      <c r="Q883" s="2">
        <v>45225</v>
      </c>
      <c r="R883" s="2">
        <v>45230</v>
      </c>
      <c r="S883" t="s">
        <v>74</v>
      </c>
      <c r="T883">
        <f t="shared" si="91"/>
        <v>1081.6659999999999</v>
      </c>
      <c r="U883">
        <f t="shared" si="92"/>
        <v>5</v>
      </c>
      <c r="V883">
        <f t="shared" si="93"/>
        <v>1133.28</v>
      </c>
      <c r="W883">
        <f t="shared" si="94"/>
        <v>56.663999999999987</v>
      </c>
      <c r="X883">
        <f t="shared" si="95"/>
        <v>5</v>
      </c>
      <c r="Y883" cm="1">
        <f t="array" ref="Y883">_xlfn.IFS(H883=0.1,1,H883=0.15,1,H883=0.05,1,H883=0,0)</f>
        <v>1</v>
      </c>
      <c r="Z883">
        <f t="shared" si="96"/>
        <v>16</v>
      </c>
      <c r="AA883">
        <f t="shared" si="97"/>
        <v>2023</v>
      </c>
    </row>
    <row r="884" spans="1:27" x14ac:dyDescent="0.3">
      <c r="A884" s="2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1777</v>
      </c>
      <c r="O884" t="s">
        <v>609</v>
      </c>
      <c r="P884">
        <v>12.28</v>
      </c>
      <c r="Q884" s="2">
        <v>44936</v>
      </c>
      <c r="R884" s="2">
        <v>44940</v>
      </c>
      <c r="S884" t="s">
        <v>50</v>
      </c>
      <c r="T884">
        <f t="shared" si="91"/>
        <v>4950.9399999999996</v>
      </c>
      <c r="U884">
        <f t="shared" si="92"/>
        <v>10</v>
      </c>
      <c r="V884">
        <f t="shared" si="93"/>
        <v>5487.4</v>
      </c>
      <c r="W884">
        <f t="shared" si="94"/>
        <v>548.73999999999978</v>
      </c>
      <c r="X884">
        <f t="shared" si="95"/>
        <v>4</v>
      </c>
      <c r="Y884" cm="1">
        <f t="array" ref="Y884">_xlfn.IFS(H884=0.1,1,H884=0.15,1,H884=0.05,1,H884=0,0)</f>
        <v>1</v>
      </c>
      <c r="Z884">
        <f t="shared" si="96"/>
        <v>20</v>
      </c>
      <c r="AA884">
        <f t="shared" si="97"/>
        <v>2023</v>
      </c>
    </row>
    <row r="885" spans="1:27" x14ac:dyDescent="0.3">
      <c r="A885" s="2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62</v>
      </c>
      <c r="L885" t="s">
        <v>59</v>
      </c>
      <c r="M885">
        <v>0</v>
      </c>
      <c r="N885" t="s">
        <v>1778</v>
      </c>
      <c r="O885" t="s">
        <v>1779</v>
      </c>
      <c r="P885">
        <v>16.059999999999999</v>
      </c>
      <c r="Q885" s="2">
        <v>45370</v>
      </c>
      <c r="R885" s="2">
        <v>45373</v>
      </c>
      <c r="S885" t="s">
        <v>50</v>
      </c>
      <c r="T885">
        <f t="shared" si="91"/>
        <v>193.63</v>
      </c>
      <c r="U885">
        <f t="shared" si="92"/>
        <v>10</v>
      </c>
      <c r="V885">
        <f t="shared" si="93"/>
        <v>197.3</v>
      </c>
      <c r="W885">
        <f t="shared" si="94"/>
        <v>19.730000000000018</v>
      </c>
      <c r="X885">
        <f t="shared" si="95"/>
        <v>3</v>
      </c>
      <c r="Y885" cm="1">
        <f t="array" ref="Y885">_xlfn.IFS(H885=0.1,1,H885=0.15,1,H885=0.05,1,H885=0,0)</f>
        <v>1</v>
      </c>
      <c r="Z885">
        <f t="shared" si="96"/>
        <v>10</v>
      </c>
      <c r="AA885">
        <f t="shared" si="97"/>
        <v>2024</v>
      </c>
    </row>
    <row r="886" spans="1:27" x14ac:dyDescent="0.3">
      <c r="A886" s="2">
        <v>45280</v>
      </c>
      <c r="B886" t="s">
        <v>45</v>
      </c>
      <c r="C886" t="s">
        <v>132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1780</v>
      </c>
      <c r="O886" t="s">
        <v>1781</v>
      </c>
      <c r="P886">
        <v>28.14</v>
      </c>
      <c r="Q886" s="2">
        <v>45280</v>
      </c>
      <c r="R886" s="2">
        <v>45286</v>
      </c>
      <c r="S886" t="s">
        <v>50</v>
      </c>
      <c r="T886">
        <f t="shared" si="91"/>
        <v>4452.4800000000005</v>
      </c>
      <c r="U886">
        <f t="shared" si="92"/>
        <v>5</v>
      </c>
      <c r="V886">
        <f t="shared" si="93"/>
        <v>4657.2000000000007</v>
      </c>
      <c r="W886">
        <f t="shared" si="94"/>
        <v>232.86000000000058</v>
      </c>
      <c r="X886">
        <f t="shared" si="95"/>
        <v>6</v>
      </c>
      <c r="Y886" cm="1">
        <f t="array" ref="Y886">_xlfn.IFS(H886=0.1,1,H886=0.15,1,H886=0.05,1,H886=0,0)</f>
        <v>1</v>
      </c>
      <c r="Z886">
        <f t="shared" si="96"/>
        <v>10</v>
      </c>
      <c r="AA886">
        <f t="shared" si="97"/>
        <v>2023</v>
      </c>
    </row>
    <row r="887" spans="1:27" x14ac:dyDescent="0.3">
      <c r="A887" s="2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62</v>
      </c>
      <c r="L887" t="s">
        <v>25</v>
      </c>
      <c r="M887">
        <v>0</v>
      </c>
      <c r="N887" t="s">
        <v>1782</v>
      </c>
      <c r="O887" t="s">
        <v>1783</v>
      </c>
      <c r="P887">
        <v>14.85</v>
      </c>
      <c r="Q887" s="2">
        <v>45635</v>
      </c>
      <c r="R887" s="2">
        <v>45645</v>
      </c>
      <c r="S887" t="s">
        <v>50</v>
      </c>
      <c r="T887">
        <f t="shared" si="91"/>
        <v>1076.2469999999998</v>
      </c>
      <c r="U887">
        <f t="shared" si="92"/>
        <v>10</v>
      </c>
      <c r="V887">
        <f t="shared" si="93"/>
        <v>1179.33</v>
      </c>
      <c r="W887">
        <f t="shared" si="94"/>
        <v>117.93299999999999</v>
      </c>
      <c r="X887">
        <f t="shared" si="95"/>
        <v>10</v>
      </c>
      <c r="Y887" cm="1">
        <f t="array" ref="Y887">_xlfn.IFS(H887=0.1,1,H887=0.15,1,H887=0.05,1,H887=0,0)</f>
        <v>1</v>
      </c>
      <c r="Z887">
        <f t="shared" si="96"/>
        <v>19</v>
      </c>
      <c r="AA887">
        <f t="shared" si="97"/>
        <v>2024</v>
      </c>
    </row>
    <row r="888" spans="1:27" x14ac:dyDescent="0.3">
      <c r="A888" s="2">
        <v>45056</v>
      </c>
      <c r="B888" t="s">
        <v>45</v>
      </c>
      <c r="C888" t="s">
        <v>81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68</v>
      </c>
      <c r="J888">
        <v>5530.14</v>
      </c>
      <c r="K888" t="s">
        <v>58</v>
      </c>
      <c r="L888" t="s">
        <v>59</v>
      </c>
      <c r="M888">
        <v>1</v>
      </c>
      <c r="N888" t="s">
        <v>1784</v>
      </c>
      <c r="O888" t="s">
        <v>1785</v>
      </c>
      <c r="P888">
        <v>16.78</v>
      </c>
      <c r="Q888" s="2">
        <v>45056</v>
      </c>
      <c r="R888" s="2">
        <v>45066</v>
      </c>
      <c r="S888" t="s">
        <v>50</v>
      </c>
      <c r="T888">
        <f t="shared" si="91"/>
        <v>5547.92</v>
      </c>
      <c r="U888">
        <f t="shared" si="92"/>
        <v>5</v>
      </c>
      <c r="V888">
        <f t="shared" si="93"/>
        <v>5821.2000000000007</v>
      </c>
      <c r="W888">
        <f t="shared" si="94"/>
        <v>291.0600000000004</v>
      </c>
      <c r="X888">
        <f t="shared" si="95"/>
        <v>10</v>
      </c>
      <c r="Y888" cm="1">
        <f t="array" ref="Y888">_xlfn.IFS(H888=0.1,1,H888=0.15,1,H888=0.05,1,H888=0,0)</f>
        <v>1</v>
      </c>
      <c r="Z888">
        <f t="shared" si="96"/>
        <v>11</v>
      </c>
      <c r="AA888">
        <f t="shared" si="97"/>
        <v>2023</v>
      </c>
    </row>
    <row r="889" spans="1:27" x14ac:dyDescent="0.3">
      <c r="A889" s="2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68</v>
      </c>
      <c r="J889">
        <v>2440.0529999999999</v>
      </c>
      <c r="K889" t="s">
        <v>65</v>
      </c>
      <c r="L889" t="s">
        <v>41</v>
      </c>
      <c r="M889">
        <v>0</v>
      </c>
      <c r="N889" t="s">
        <v>1786</v>
      </c>
      <c r="O889" t="s">
        <v>1787</v>
      </c>
      <c r="P889">
        <v>14.76</v>
      </c>
      <c r="Q889" s="2">
        <v>45217</v>
      </c>
      <c r="R889" s="2">
        <v>45220</v>
      </c>
      <c r="S889" t="s">
        <v>38</v>
      </c>
      <c r="T889">
        <f t="shared" si="91"/>
        <v>2454.8130000000001</v>
      </c>
      <c r="U889">
        <f t="shared" si="92"/>
        <v>10</v>
      </c>
      <c r="V889">
        <f t="shared" si="93"/>
        <v>2711.17</v>
      </c>
      <c r="W889">
        <f t="shared" si="94"/>
        <v>271.11700000000019</v>
      </c>
      <c r="X889">
        <f t="shared" si="95"/>
        <v>3</v>
      </c>
      <c r="Y889" cm="1">
        <f t="array" ref="Y889">_xlfn.IFS(H889=0.1,1,H889=0.15,1,H889=0.05,1,H889=0,0)</f>
        <v>1</v>
      </c>
      <c r="Z889">
        <f t="shared" si="96"/>
        <v>7</v>
      </c>
      <c r="AA889">
        <f t="shared" si="97"/>
        <v>2023</v>
      </c>
    </row>
    <row r="890" spans="1:27" x14ac:dyDescent="0.3">
      <c r="A890" s="2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68</v>
      </c>
      <c r="J890">
        <v>152.75</v>
      </c>
      <c r="K890" t="s">
        <v>58</v>
      </c>
      <c r="L890" t="s">
        <v>25</v>
      </c>
      <c r="M890">
        <v>1</v>
      </c>
      <c r="N890" t="s">
        <v>1788</v>
      </c>
      <c r="O890" t="s">
        <v>1789</v>
      </c>
      <c r="P890">
        <v>9.61</v>
      </c>
      <c r="Q890" s="2">
        <v>45629</v>
      </c>
      <c r="R890" s="2">
        <v>45632</v>
      </c>
      <c r="S890" t="s">
        <v>38</v>
      </c>
      <c r="T890">
        <f t="shared" si="91"/>
        <v>163.36000000000001</v>
      </c>
      <c r="U890">
        <f t="shared" si="92"/>
        <v>0</v>
      </c>
      <c r="V890">
        <f t="shared" si="93"/>
        <v>152.75</v>
      </c>
      <c r="W890">
        <f t="shared" si="94"/>
        <v>0</v>
      </c>
      <c r="X890">
        <f t="shared" si="95"/>
        <v>3</v>
      </c>
      <c r="Y890" cm="1">
        <f t="array" ref="Y890">_xlfn.IFS(H890=0.1,1,H890=0.15,1,H890=0.05,1,H890=0,0)</f>
        <v>0</v>
      </c>
      <c r="Z890">
        <f t="shared" si="96"/>
        <v>0</v>
      </c>
      <c r="AA890">
        <f t="shared" si="97"/>
        <v>2024</v>
      </c>
    </row>
    <row r="891" spans="1:27" x14ac:dyDescent="0.3">
      <c r="A891" s="2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62</v>
      </c>
      <c r="L891" t="s">
        <v>59</v>
      </c>
      <c r="M891">
        <v>1</v>
      </c>
      <c r="N891" t="s">
        <v>1790</v>
      </c>
      <c r="O891" t="s">
        <v>1791</v>
      </c>
      <c r="P891">
        <v>26.92</v>
      </c>
      <c r="Q891" s="2">
        <v>45575</v>
      </c>
      <c r="R891" s="2">
        <v>45582</v>
      </c>
      <c r="S891" t="s">
        <v>38</v>
      </c>
      <c r="T891">
        <f t="shared" si="91"/>
        <v>549.77599999999995</v>
      </c>
      <c r="U891">
        <f t="shared" si="92"/>
        <v>10</v>
      </c>
      <c r="V891">
        <f t="shared" si="93"/>
        <v>579.84</v>
      </c>
      <c r="W891">
        <f t="shared" si="94"/>
        <v>57.984000000000037</v>
      </c>
      <c r="X891">
        <f t="shared" si="95"/>
        <v>7</v>
      </c>
      <c r="Y891" cm="1">
        <f t="array" ref="Y891">_xlfn.IFS(H891=0.1,1,H891=0.15,1,H891=0.05,1,H891=0,0)</f>
        <v>1</v>
      </c>
      <c r="Z891">
        <f t="shared" si="96"/>
        <v>8</v>
      </c>
      <c r="AA891">
        <f t="shared" si="97"/>
        <v>2024</v>
      </c>
    </row>
    <row r="892" spans="1:27" x14ac:dyDescent="0.3">
      <c r="A892" s="2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1792</v>
      </c>
      <c r="O892" t="s">
        <v>1793</v>
      </c>
      <c r="P892">
        <v>26.35</v>
      </c>
      <c r="Q892" s="2">
        <v>45446</v>
      </c>
      <c r="R892" s="2">
        <v>45450</v>
      </c>
      <c r="S892" t="s">
        <v>28</v>
      </c>
      <c r="T892">
        <f t="shared" si="91"/>
        <v>725.07400000000007</v>
      </c>
      <c r="U892">
        <f t="shared" si="92"/>
        <v>10</v>
      </c>
      <c r="V892">
        <f t="shared" si="93"/>
        <v>776.36</v>
      </c>
      <c r="W892">
        <f t="shared" si="94"/>
        <v>77.635999999999967</v>
      </c>
      <c r="X892">
        <f t="shared" si="95"/>
        <v>4</v>
      </c>
      <c r="Y892" cm="1">
        <f t="array" ref="Y892">_xlfn.IFS(H892=0.1,1,H892=0.15,1,H892=0.05,1,H892=0,0)</f>
        <v>1</v>
      </c>
      <c r="Z892">
        <f t="shared" si="96"/>
        <v>4</v>
      </c>
      <c r="AA892">
        <f t="shared" si="97"/>
        <v>2024</v>
      </c>
    </row>
    <row r="893" spans="1:27" x14ac:dyDescent="0.3">
      <c r="A893" s="2">
        <v>45742</v>
      </c>
      <c r="B893" t="s">
        <v>29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1794</v>
      </c>
      <c r="O893" t="s">
        <v>1795</v>
      </c>
      <c r="P893">
        <v>45.34</v>
      </c>
      <c r="Q893" s="2">
        <v>45742</v>
      </c>
      <c r="R893" s="2">
        <v>45745</v>
      </c>
      <c r="S893" t="s">
        <v>38</v>
      </c>
      <c r="T893">
        <f t="shared" si="91"/>
        <v>500.34500000000003</v>
      </c>
      <c r="U893">
        <f t="shared" si="92"/>
        <v>5</v>
      </c>
      <c r="V893">
        <f t="shared" si="93"/>
        <v>477.90000000000003</v>
      </c>
      <c r="W893">
        <f t="shared" si="94"/>
        <v>23.895000000000039</v>
      </c>
      <c r="X893">
        <f t="shared" si="95"/>
        <v>3</v>
      </c>
      <c r="Y893" cm="1">
        <f t="array" ref="Y893">_xlfn.IFS(H893=0.1,1,H893=0.15,1,H893=0.05,1,H893=0,0)</f>
        <v>1</v>
      </c>
      <c r="Z893">
        <f t="shared" si="96"/>
        <v>3</v>
      </c>
      <c r="AA893">
        <f t="shared" si="97"/>
        <v>2025</v>
      </c>
    </row>
    <row r="894" spans="1:27" x14ac:dyDescent="0.3">
      <c r="A894" s="2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1796</v>
      </c>
      <c r="O894" t="s">
        <v>1797</v>
      </c>
      <c r="P894">
        <v>30.19</v>
      </c>
      <c r="Q894" s="2">
        <v>45408</v>
      </c>
      <c r="R894" s="2">
        <v>45413</v>
      </c>
      <c r="S894" t="s">
        <v>44</v>
      </c>
      <c r="T894">
        <f t="shared" si="91"/>
        <v>1122.3220000000001</v>
      </c>
      <c r="U894">
        <f t="shared" si="92"/>
        <v>10</v>
      </c>
      <c r="V894">
        <f t="shared" si="93"/>
        <v>1213.48</v>
      </c>
      <c r="W894">
        <f t="shared" si="94"/>
        <v>121.34799999999996</v>
      </c>
      <c r="X894">
        <f t="shared" si="95"/>
        <v>5</v>
      </c>
      <c r="Y894" cm="1">
        <f t="array" ref="Y894">_xlfn.IFS(H894=0.1,1,H894=0.15,1,H894=0.05,1,H894=0,0)</f>
        <v>1</v>
      </c>
      <c r="Z894">
        <f t="shared" si="96"/>
        <v>4</v>
      </c>
      <c r="AA894">
        <f t="shared" si="97"/>
        <v>2024</v>
      </c>
    </row>
    <row r="895" spans="1:27" x14ac:dyDescent="0.3">
      <c r="A895" s="2">
        <v>45051</v>
      </c>
      <c r="B895" t="s">
        <v>71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7804.2240000000011</v>
      </c>
      <c r="K895" t="s">
        <v>65</v>
      </c>
      <c r="L895" t="s">
        <v>35</v>
      </c>
      <c r="M895">
        <v>1</v>
      </c>
      <c r="N895" t="s">
        <v>1798</v>
      </c>
      <c r="O895" t="s">
        <v>1799</v>
      </c>
      <c r="P895">
        <v>9.93</v>
      </c>
      <c r="Q895" s="2">
        <v>45051</v>
      </c>
      <c r="R895" s="2">
        <v>45059</v>
      </c>
      <c r="S895" t="s">
        <v>74</v>
      </c>
      <c r="T895">
        <f t="shared" si="91"/>
        <v>7815.1540000000014</v>
      </c>
      <c r="U895">
        <f t="shared" si="92"/>
        <v>10</v>
      </c>
      <c r="V895">
        <f t="shared" si="93"/>
        <v>8671.36</v>
      </c>
      <c r="W895">
        <f t="shared" si="94"/>
        <v>867.13599999999951</v>
      </c>
      <c r="X895">
        <f t="shared" si="95"/>
        <v>8</v>
      </c>
      <c r="Y895" cm="1">
        <f t="array" ref="Y895">_xlfn.IFS(H895=0.1,1,H895=0.15,1,H895=0.05,1,H895=0,0)</f>
        <v>1</v>
      </c>
      <c r="Z895">
        <f t="shared" si="96"/>
        <v>16</v>
      </c>
      <c r="AA895">
        <f t="shared" si="97"/>
        <v>2023</v>
      </c>
    </row>
    <row r="896" spans="1:27" x14ac:dyDescent="0.3">
      <c r="A896" s="2">
        <v>45192</v>
      </c>
      <c r="B896" t="s">
        <v>71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L896" t="s">
        <v>59</v>
      </c>
      <c r="M896">
        <v>0</v>
      </c>
      <c r="N896" t="s">
        <v>1800</v>
      </c>
      <c r="O896" t="s">
        <v>1801</v>
      </c>
      <c r="P896">
        <v>16.59</v>
      </c>
      <c r="Q896" s="2">
        <v>45192</v>
      </c>
      <c r="R896" s="2">
        <v>45198</v>
      </c>
      <c r="S896" t="s">
        <v>74</v>
      </c>
      <c r="T896">
        <f t="shared" si="91"/>
        <v>307.58</v>
      </c>
      <c r="U896">
        <f t="shared" si="92"/>
        <v>0</v>
      </c>
      <c r="V896">
        <f t="shared" si="93"/>
        <v>290.99</v>
      </c>
      <c r="W896">
        <f t="shared" si="94"/>
        <v>0</v>
      </c>
      <c r="X896">
        <f t="shared" si="95"/>
        <v>6</v>
      </c>
      <c r="Y896" cm="1">
        <f t="array" ref="Y896">_xlfn.IFS(H896=0.1,1,H896=0.15,1,H896=0.05,1,H896=0,0)</f>
        <v>0</v>
      </c>
      <c r="Z896">
        <f t="shared" si="96"/>
        <v>0</v>
      </c>
      <c r="AA896">
        <f t="shared" si="97"/>
        <v>2023</v>
      </c>
    </row>
    <row r="897" spans="1:27" x14ac:dyDescent="0.3">
      <c r="A897" s="2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65</v>
      </c>
      <c r="L897" t="s">
        <v>25</v>
      </c>
      <c r="M897">
        <v>1</v>
      </c>
      <c r="N897" t="s">
        <v>1802</v>
      </c>
      <c r="O897" t="s">
        <v>1803</v>
      </c>
      <c r="P897">
        <v>25.11</v>
      </c>
      <c r="Q897" s="2">
        <v>45724</v>
      </c>
      <c r="R897" s="2">
        <v>45731</v>
      </c>
      <c r="S897" t="s">
        <v>38</v>
      </c>
      <c r="T897">
        <f t="shared" si="91"/>
        <v>2987.3740000000003</v>
      </c>
      <c r="U897">
        <f t="shared" si="92"/>
        <v>15</v>
      </c>
      <c r="V897">
        <f t="shared" si="93"/>
        <v>3483.84</v>
      </c>
      <c r="W897">
        <f t="shared" si="94"/>
        <v>522.57600000000002</v>
      </c>
      <c r="X897">
        <f t="shared" si="95"/>
        <v>7</v>
      </c>
      <c r="Y897" cm="1">
        <f t="array" ref="Y897">_xlfn.IFS(H897=0.1,1,H897=0.15,1,H897=0.05,1,H897=0,0)</f>
        <v>1</v>
      </c>
      <c r="Z897">
        <f t="shared" si="96"/>
        <v>16</v>
      </c>
      <c r="AA897">
        <f t="shared" si="97"/>
        <v>2025</v>
      </c>
    </row>
    <row r="898" spans="1:27" x14ac:dyDescent="0.3">
      <c r="A898" s="2">
        <v>44943</v>
      </c>
      <c r="B898" t="s">
        <v>39</v>
      </c>
      <c r="C898" t="s">
        <v>132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1804</v>
      </c>
      <c r="O898" t="s">
        <v>1805</v>
      </c>
      <c r="P898">
        <v>48.93</v>
      </c>
      <c r="Q898" s="2">
        <v>44943</v>
      </c>
      <c r="R898" s="2">
        <v>44953</v>
      </c>
      <c r="S898" t="s">
        <v>44</v>
      </c>
      <c r="T898">
        <f t="shared" si="91"/>
        <v>337.48</v>
      </c>
      <c r="U898">
        <f t="shared" si="92"/>
        <v>0</v>
      </c>
      <c r="V898">
        <f t="shared" si="93"/>
        <v>287.55</v>
      </c>
      <c r="W898">
        <f t="shared" si="94"/>
        <v>0</v>
      </c>
      <c r="X898">
        <f t="shared" si="95"/>
        <v>10</v>
      </c>
      <c r="Y898" cm="1">
        <f t="array" ref="Y898">_xlfn.IFS(H898=0.1,1,H898=0.15,1,H898=0.05,1,H898=0,0)</f>
        <v>0</v>
      </c>
      <c r="Z898">
        <f t="shared" si="96"/>
        <v>0</v>
      </c>
      <c r="AA898">
        <f t="shared" si="97"/>
        <v>2023</v>
      </c>
    </row>
    <row r="899" spans="1:27" x14ac:dyDescent="0.3">
      <c r="A899" s="2">
        <v>45045</v>
      </c>
      <c r="B899" t="s">
        <v>45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1806</v>
      </c>
      <c r="O899" t="s">
        <v>1807</v>
      </c>
      <c r="P899">
        <v>21.03</v>
      </c>
      <c r="Q899" s="2">
        <v>45045</v>
      </c>
      <c r="R899" s="2">
        <v>45047</v>
      </c>
      <c r="S899" t="s">
        <v>50</v>
      </c>
      <c r="T899">
        <f t="shared" ref="T899:T962" si="98">SUM(J899:P899)</f>
        <v>3981.1200000000003</v>
      </c>
      <c r="U899">
        <f t="shared" ref="U899:U962" si="99">PRODUCT(100,H899)</f>
        <v>10</v>
      </c>
      <c r="V899">
        <f t="shared" ref="V899:V962" si="100">PRODUCT(D899:E899)</f>
        <v>4400.0999999999995</v>
      </c>
      <c r="W899">
        <f t="shared" ref="W899:W962" si="101" xml:space="preserve"> V899-J899</f>
        <v>440.00999999999931</v>
      </c>
      <c r="X899">
        <f t="shared" ref="X899:X962" si="102">R899-Q899</f>
        <v>2</v>
      </c>
      <c r="Y899" cm="1">
        <f t="array" ref="Y899">_xlfn.IFS(H899=0.1,1,H899=0.15,1,H899=0.05,1,H899=0,0)</f>
        <v>1</v>
      </c>
      <c r="Z899">
        <f t="shared" ref="Z899:Z962" si="103">PRODUCT(Y899,D899)</f>
        <v>15</v>
      </c>
      <c r="AA899">
        <f t="shared" ref="AA899:AA962" si="104">YEAR(A899)</f>
        <v>2023</v>
      </c>
    </row>
    <row r="900" spans="1:27" x14ac:dyDescent="0.3">
      <c r="A900" s="2">
        <v>45704</v>
      </c>
      <c r="B900" t="s">
        <v>29</v>
      </c>
      <c r="C900" t="s">
        <v>132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65</v>
      </c>
      <c r="L900" t="s">
        <v>59</v>
      </c>
      <c r="M900">
        <v>0</v>
      </c>
      <c r="N900" t="s">
        <v>1808</v>
      </c>
      <c r="O900" t="s">
        <v>1809</v>
      </c>
      <c r="P900">
        <v>16.04</v>
      </c>
      <c r="Q900" s="2">
        <v>45704</v>
      </c>
      <c r="R900" s="2">
        <v>45710</v>
      </c>
      <c r="S900" t="s">
        <v>38</v>
      </c>
      <c r="T900">
        <f t="shared" si="98"/>
        <v>3330.2359999999999</v>
      </c>
      <c r="U900">
        <f t="shared" si="99"/>
        <v>10</v>
      </c>
      <c r="V900">
        <f t="shared" si="100"/>
        <v>3682.44</v>
      </c>
      <c r="W900">
        <f t="shared" si="101"/>
        <v>368.24400000000014</v>
      </c>
      <c r="X900">
        <f t="shared" si="102"/>
        <v>6</v>
      </c>
      <c r="Y900" cm="1">
        <f t="array" ref="Y900">_xlfn.IFS(H900=0.1,1,H900=0.15,1,H900=0.05,1,H900=0,0)</f>
        <v>1</v>
      </c>
      <c r="Z900">
        <f t="shared" si="103"/>
        <v>18</v>
      </c>
      <c r="AA900">
        <f t="shared" si="104"/>
        <v>2025</v>
      </c>
    </row>
    <row r="901" spans="1:27" x14ac:dyDescent="0.3">
      <c r="A901" s="2">
        <v>45082</v>
      </c>
      <c r="B901" t="s">
        <v>19</v>
      </c>
      <c r="C901" t="s">
        <v>132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62</v>
      </c>
      <c r="L901" t="s">
        <v>59</v>
      </c>
      <c r="M901">
        <v>0</v>
      </c>
      <c r="N901" t="s">
        <v>1810</v>
      </c>
      <c r="O901" t="s">
        <v>1811</v>
      </c>
      <c r="P901">
        <v>24.57</v>
      </c>
      <c r="Q901" s="2">
        <v>45082</v>
      </c>
      <c r="R901" s="2">
        <v>45086</v>
      </c>
      <c r="S901" t="s">
        <v>28</v>
      </c>
      <c r="T901">
        <f t="shared" si="98"/>
        <v>4162.9650000000001</v>
      </c>
      <c r="U901">
        <f t="shared" si="99"/>
        <v>15</v>
      </c>
      <c r="V901">
        <f t="shared" si="100"/>
        <v>4868.7</v>
      </c>
      <c r="W901">
        <f t="shared" si="101"/>
        <v>730.30499999999938</v>
      </c>
      <c r="X901">
        <f t="shared" si="102"/>
        <v>4</v>
      </c>
      <c r="Y901" cm="1">
        <f t="array" ref="Y901">_xlfn.IFS(H901=0.1,1,H901=0.15,1,H901=0.05,1,H901=0,0)</f>
        <v>1</v>
      </c>
      <c r="Z901">
        <f t="shared" si="103"/>
        <v>15</v>
      </c>
      <c r="AA901">
        <f t="shared" si="104"/>
        <v>2023</v>
      </c>
    </row>
    <row r="902" spans="1:27" x14ac:dyDescent="0.3">
      <c r="A902" s="2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62</v>
      </c>
      <c r="L902" t="s">
        <v>41</v>
      </c>
      <c r="M902">
        <v>0</v>
      </c>
      <c r="N902" t="s">
        <v>1812</v>
      </c>
      <c r="O902" t="s">
        <v>1813</v>
      </c>
      <c r="P902">
        <v>32.57</v>
      </c>
      <c r="Q902" s="2">
        <v>45166</v>
      </c>
      <c r="R902" s="2">
        <v>45175</v>
      </c>
      <c r="S902" t="s">
        <v>38</v>
      </c>
      <c r="T902">
        <f t="shared" si="98"/>
        <v>4145.7945</v>
      </c>
      <c r="U902">
        <f t="shared" si="99"/>
        <v>5</v>
      </c>
      <c r="V902">
        <f t="shared" si="100"/>
        <v>4329.71</v>
      </c>
      <c r="W902">
        <f t="shared" si="101"/>
        <v>216.48549999999977</v>
      </c>
      <c r="X902">
        <f t="shared" si="102"/>
        <v>9</v>
      </c>
      <c r="Y902" cm="1">
        <f t="array" ref="Y902">_xlfn.IFS(H902=0.1,1,H902=0.15,1,H902=0.05,1,H902=0,0)</f>
        <v>1</v>
      </c>
      <c r="Z902">
        <f t="shared" si="103"/>
        <v>11</v>
      </c>
      <c r="AA902">
        <f t="shared" si="104"/>
        <v>2023</v>
      </c>
    </row>
    <row r="903" spans="1:27" x14ac:dyDescent="0.3">
      <c r="A903" s="2">
        <v>45139</v>
      </c>
      <c r="B903" t="s">
        <v>39</v>
      </c>
      <c r="C903" t="s">
        <v>132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1814</v>
      </c>
      <c r="O903" t="s">
        <v>1491</v>
      </c>
      <c r="P903">
        <v>28.69</v>
      </c>
      <c r="Q903" s="2">
        <v>45139</v>
      </c>
      <c r="R903" s="2">
        <v>45148</v>
      </c>
      <c r="S903" t="s">
        <v>44</v>
      </c>
      <c r="T903">
        <f t="shared" si="98"/>
        <v>1102.4180000000001</v>
      </c>
      <c r="U903">
        <f t="shared" si="99"/>
        <v>5</v>
      </c>
      <c r="V903">
        <f t="shared" si="100"/>
        <v>1130.24</v>
      </c>
      <c r="W903">
        <f t="shared" si="101"/>
        <v>56.511999999999944</v>
      </c>
      <c r="X903">
        <f t="shared" si="102"/>
        <v>9</v>
      </c>
      <c r="Y903" cm="1">
        <f t="array" ref="Y903">_xlfn.IFS(H903=0.1,1,H903=0.15,1,H903=0.05,1,H903=0,0)</f>
        <v>1</v>
      </c>
      <c r="Z903">
        <f t="shared" si="103"/>
        <v>8</v>
      </c>
      <c r="AA903">
        <f t="shared" si="104"/>
        <v>2023</v>
      </c>
    </row>
    <row r="904" spans="1:27" x14ac:dyDescent="0.3">
      <c r="A904" s="2">
        <v>45700</v>
      </c>
      <c r="B904" t="s">
        <v>71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65</v>
      </c>
      <c r="L904" t="s">
        <v>25</v>
      </c>
      <c r="M904">
        <v>1</v>
      </c>
      <c r="N904" t="s">
        <v>1815</v>
      </c>
      <c r="O904" t="s">
        <v>1816</v>
      </c>
      <c r="P904">
        <v>46.67</v>
      </c>
      <c r="Q904" s="2">
        <v>45700</v>
      </c>
      <c r="R904" s="2">
        <v>45708</v>
      </c>
      <c r="S904" t="s">
        <v>74</v>
      </c>
      <c r="T904">
        <f t="shared" si="98"/>
        <v>2563.0920000000001</v>
      </c>
      <c r="U904">
        <f t="shared" si="99"/>
        <v>15</v>
      </c>
      <c r="V904">
        <f t="shared" si="100"/>
        <v>2959.3199999999997</v>
      </c>
      <c r="W904">
        <f t="shared" si="101"/>
        <v>443.89799999999968</v>
      </c>
      <c r="X904">
        <f t="shared" si="102"/>
        <v>8</v>
      </c>
      <c r="Y904" cm="1">
        <f t="array" ref="Y904">_xlfn.IFS(H904=0.1,1,H904=0.15,1,H904=0.05,1,H904=0,0)</f>
        <v>1</v>
      </c>
      <c r="Z904">
        <f t="shared" si="103"/>
        <v>13</v>
      </c>
      <c r="AA904">
        <f t="shared" si="104"/>
        <v>2025</v>
      </c>
    </row>
    <row r="905" spans="1:27" x14ac:dyDescent="0.3">
      <c r="A905" s="2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65</v>
      </c>
      <c r="L905" t="s">
        <v>41</v>
      </c>
      <c r="M905">
        <v>0</v>
      </c>
      <c r="N905" t="s">
        <v>1817</v>
      </c>
      <c r="O905" t="s">
        <v>1818</v>
      </c>
      <c r="P905">
        <v>47.75</v>
      </c>
      <c r="Q905" s="2">
        <v>45110</v>
      </c>
      <c r="R905" s="2">
        <v>45113</v>
      </c>
      <c r="S905" t="s">
        <v>50</v>
      </c>
      <c r="T905">
        <f t="shared" si="98"/>
        <v>5880.0469999999996</v>
      </c>
      <c r="U905">
        <f t="shared" si="99"/>
        <v>10</v>
      </c>
      <c r="V905">
        <f t="shared" si="100"/>
        <v>6480.33</v>
      </c>
      <c r="W905">
        <f t="shared" si="101"/>
        <v>648.03300000000036</v>
      </c>
      <c r="X905">
        <f t="shared" si="102"/>
        <v>3</v>
      </c>
      <c r="Y905" cm="1">
        <f t="array" ref="Y905">_xlfn.IFS(H905=0.1,1,H905=0.15,1,H905=0.05,1,H905=0,0)</f>
        <v>1</v>
      </c>
      <c r="Z905">
        <f t="shared" si="103"/>
        <v>19</v>
      </c>
      <c r="AA905">
        <f t="shared" si="104"/>
        <v>2023</v>
      </c>
    </row>
    <row r="906" spans="1:27" x14ac:dyDescent="0.3">
      <c r="A906" s="2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1819</v>
      </c>
      <c r="O906" t="s">
        <v>1820</v>
      </c>
      <c r="P906">
        <v>21.21</v>
      </c>
      <c r="Q906" s="2">
        <v>45786</v>
      </c>
      <c r="R906" s="2">
        <v>45790</v>
      </c>
      <c r="S906" t="s">
        <v>50</v>
      </c>
      <c r="T906">
        <f t="shared" si="98"/>
        <v>6188.66</v>
      </c>
      <c r="U906">
        <f t="shared" si="99"/>
        <v>5</v>
      </c>
      <c r="V906">
        <f t="shared" si="100"/>
        <v>6491</v>
      </c>
      <c r="W906">
        <f t="shared" si="101"/>
        <v>324.55000000000018</v>
      </c>
      <c r="X906">
        <f t="shared" si="102"/>
        <v>4</v>
      </c>
      <c r="Y906" cm="1">
        <f t="array" ref="Y906">_xlfn.IFS(H906=0.1,1,H906=0.15,1,H906=0.05,1,H906=0,0)</f>
        <v>1</v>
      </c>
      <c r="Z906">
        <f t="shared" si="103"/>
        <v>20</v>
      </c>
      <c r="AA906">
        <f t="shared" si="104"/>
        <v>2025</v>
      </c>
    </row>
    <row r="907" spans="1:27" x14ac:dyDescent="0.3">
      <c r="A907" s="2">
        <v>45417</v>
      </c>
      <c r="B907" t="s">
        <v>71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1821</v>
      </c>
      <c r="O907" t="s">
        <v>1822</v>
      </c>
      <c r="P907">
        <v>5.58</v>
      </c>
      <c r="Q907" s="2">
        <v>45417</v>
      </c>
      <c r="R907" s="2">
        <v>45426</v>
      </c>
      <c r="S907" t="s">
        <v>74</v>
      </c>
      <c r="T907">
        <f t="shared" si="98"/>
        <v>4340.9880000000003</v>
      </c>
      <c r="U907">
        <f t="shared" si="99"/>
        <v>10</v>
      </c>
      <c r="V907">
        <f t="shared" si="100"/>
        <v>4817.12</v>
      </c>
      <c r="W907">
        <f t="shared" si="101"/>
        <v>481.71199999999953</v>
      </c>
      <c r="X907">
        <f t="shared" si="102"/>
        <v>9</v>
      </c>
      <c r="Y907" cm="1">
        <f t="array" ref="Y907">_xlfn.IFS(H907=0.1,1,H907=0.15,1,H907=0.05,1,H907=0,0)</f>
        <v>1</v>
      </c>
      <c r="Z907">
        <f t="shared" si="103"/>
        <v>16</v>
      </c>
      <c r="AA907">
        <f t="shared" si="104"/>
        <v>2024</v>
      </c>
    </row>
    <row r="908" spans="1:27" x14ac:dyDescent="0.3">
      <c r="A908" s="2">
        <v>45299</v>
      </c>
      <c r="B908" t="s">
        <v>29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3708.639999999999</v>
      </c>
      <c r="K908" t="s">
        <v>34</v>
      </c>
      <c r="L908" t="s">
        <v>35</v>
      </c>
      <c r="M908">
        <v>0</v>
      </c>
      <c r="N908" t="s">
        <v>1823</v>
      </c>
      <c r="O908" t="s">
        <v>1824</v>
      </c>
      <c r="P908">
        <v>31.2</v>
      </c>
      <c r="Q908" s="2">
        <v>45299</v>
      </c>
      <c r="R908" s="2">
        <v>45306</v>
      </c>
      <c r="S908" t="s">
        <v>38</v>
      </c>
      <c r="T908">
        <f t="shared" si="98"/>
        <v>3739.8399999999988</v>
      </c>
      <c r="U908">
        <f t="shared" si="99"/>
        <v>0</v>
      </c>
      <c r="V908">
        <f t="shared" si="100"/>
        <v>3708.6399999999994</v>
      </c>
      <c r="W908">
        <f t="shared" si="101"/>
        <v>0</v>
      </c>
      <c r="X908">
        <f t="shared" si="102"/>
        <v>7</v>
      </c>
      <c r="Y908" cm="1">
        <f t="array" ref="Y908">_xlfn.IFS(H908=0.1,1,H908=0.15,1,H908=0.05,1,H908=0,0)</f>
        <v>0</v>
      </c>
      <c r="Z908">
        <f t="shared" si="103"/>
        <v>0</v>
      </c>
      <c r="AA908">
        <f t="shared" si="104"/>
        <v>2024</v>
      </c>
    </row>
    <row r="909" spans="1:27" x14ac:dyDescent="0.3">
      <c r="A909" s="2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1825</v>
      </c>
      <c r="O909" t="s">
        <v>1826</v>
      </c>
      <c r="P909">
        <v>14.35</v>
      </c>
      <c r="Q909" s="2">
        <v>45670</v>
      </c>
      <c r="R909" s="2">
        <v>45674</v>
      </c>
      <c r="S909" t="s">
        <v>38</v>
      </c>
      <c r="T909">
        <f t="shared" si="98"/>
        <v>285.95000000000005</v>
      </c>
      <c r="U909">
        <f t="shared" si="99"/>
        <v>0</v>
      </c>
      <c r="V909">
        <f t="shared" si="100"/>
        <v>270.59999999999997</v>
      </c>
      <c r="W909">
        <f t="shared" si="101"/>
        <v>0</v>
      </c>
      <c r="X909">
        <f t="shared" si="102"/>
        <v>4</v>
      </c>
      <c r="Y909" cm="1">
        <f t="array" ref="Y909">_xlfn.IFS(H909=0.1,1,H909=0.15,1,H909=0.05,1,H909=0,0)</f>
        <v>0</v>
      </c>
      <c r="Z909">
        <f t="shared" si="103"/>
        <v>0</v>
      </c>
      <c r="AA909">
        <f t="shared" si="104"/>
        <v>2025</v>
      </c>
    </row>
    <row r="910" spans="1:27" x14ac:dyDescent="0.3">
      <c r="A910" s="2">
        <v>45820</v>
      </c>
      <c r="B910" t="s">
        <v>19</v>
      </c>
      <c r="C910" t="s">
        <v>132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68</v>
      </c>
      <c r="J910">
        <v>5449.84</v>
      </c>
      <c r="K910" t="s">
        <v>34</v>
      </c>
      <c r="L910" t="s">
        <v>25</v>
      </c>
      <c r="M910">
        <v>0</v>
      </c>
      <c r="N910" t="s">
        <v>1827</v>
      </c>
      <c r="O910" t="s">
        <v>1828</v>
      </c>
      <c r="P910">
        <v>44.77</v>
      </c>
      <c r="Q910" s="2">
        <v>45820</v>
      </c>
      <c r="R910" s="2">
        <v>45826</v>
      </c>
      <c r="S910" t="s">
        <v>28</v>
      </c>
      <c r="T910">
        <f t="shared" si="98"/>
        <v>5494.6100000000006</v>
      </c>
      <c r="U910">
        <f t="shared" si="99"/>
        <v>0</v>
      </c>
      <c r="V910">
        <f t="shared" si="100"/>
        <v>5449.84</v>
      </c>
      <c r="W910">
        <f t="shared" si="101"/>
        <v>0</v>
      </c>
      <c r="X910">
        <f t="shared" si="102"/>
        <v>6</v>
      </c>
      <c r="Y910" cm="1">
        <f t="array" ref="Y910">_xlfn.IFS(H910=0.1,1,H910=0.15,1,H910=0.05,1,H910=0,0)</f>
        <v>0</v>
      </c>
      <c r="Z910">
        <f t="shared" si="103"/>
        <v>0</v>
      </c>
      <c r="AA910">
        <f t="shared" si="104"/>
        <v>2025</v>
      </c>
    </row>
    <row r="911" spans="1:27" x14ac:dyDescent="0.3">
      <c r="A911" s="2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L911" t="s">
        <v>59</v>
      </c>
      <c r="M911">
        <v>0</v>
      </c>
      <c r="N911" t="s">
        <v>1829</v>
      </c>
      <c r="O911" t="s">
        <v>1830</v>
      </c>
      <c r="P911">
        <v>30.57</v>
      </c>
      <c r="Q911" s="2">
        <v>45750</v>
      </c>
      <c r="R911" s="2">
        <v>45759</v>
      </c>
      <c r="S911" t="s">
        <v>44</v>
      </c>
      <c r="T911">
        <f t="shared" si="98"/>
        <v>2850.0540000000001</v>
      </c>
      <c r="U911">
        <f t="shared" si="99"/>
        <v>15</v>
      </c>
      <c r="V911">
        <f t="shared" si="100"/>
        <v>3317.04</v>
      </c>
      <c r="W911">
        <f t="shared" si="101"/>
        <v>497.55600000000004</v>
      </c>
      <c r="X911">
        <f t="shared" si="102"/>
        <v>9</v>
      </c>
      <c r="Y911" cm="1">
        <f t="array" ref="Y911">_xlfn.IFS(H911=0.1,1,H911=0.15,1,H911=0.05,1,H911=0,0)</f>
        <v>1</v>
      </c>
      <c r="Z911">
        <f t="shared" si="103"/>
        <v>12</v>
      </c>
      <c r="AA911">
        <f t="shared" si="104"/>
        <v>2025</v>
      </c>
    </row>
    <row r="912" spans="1:27" x14ac:dyDescent="0.3">
      <c r="A912" s="2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62</v>
      </c>
      <c r="L912" t="s">
        <v>25</v>
      </c>
      <c r="M912">
        <v>0</v>
      </c>
      <c r="N912" t="s">
        <v>1831</v>
      </c>
      <c r="O912" t="s">
        <v>1832</v>
      </c>
      <c r="P912">
        <v>22.16</v>
      </c>
      <c r="Q912" s="2">
        <v>44952</v>
      </c>
      <c r="R912" s="2">
        <v>44956</v>
      </c>
      <c r="S912" t="s">
        <v>50</v>
      </c>
      <c r="T912">
        <f t="shared" si="98"/>
        <v>1380.664</v>
      </c>
      <c r="U912">
        <f t="shared" si="99"/>
        <v>15</v>
      </c>
      <c r="V912">
        <f t="shared" si="100"/>
        <v>1598.24</v>
      </c>
      <c r="W912">
        <f t="shared" si="101"/>
        <v>239.7360000000001</v>
      </c>
      <c r="X912">
        <f t="shared" si="102"/>
        <v>4</v>
      </c>
      <c r="Y912" cm="1">
        <f t="array" ref="Y912">_xlfn.IFS(H912=0.1,1,H912=0.15,1,H912=0.05,1,H912=0,0)</f>
        <v>1</v>
      </c>
      <c r="Z912">
        <f t="shared" si="103"/>
        <v>7</v>
      </c>
      <c r="AA912">
        <f t="shared" si="104"/>
        <v>2023</v>
      </c>
    </row>
    <row r="913" spans="1:27" x14ac:dyDescent="0.3">
      <c r="A913" s="2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68</v>
      </c>
      <c r="J913">
        <v>448.37099999999998</v>
      </c>
      <c r="K913" t="s">
        <v>34</v>
      </c>
      <c r="L913" t="s">
        <v>35</v>
      </c>
      <c r="M913">
        <v>0</v>
      </c>
      <c r="N913" t="s">
        <v>1833</v>
      </c>
      <c r="O913" t="s">
        <v>1834</v>
      </c>
      <c r="P913">
        <v>25.55</v>
      </c>
      <c r="Q913" s="2">
        <v>44933</v>
      </c>
      <c r="R913" s="2">
        <v>44937</v>
      </c>
      <c r="S913" t="s">
        <v>50</v>
      </c>
      <c r="T913">
        <f t="shared" si="98"/>
        <v>473.92099999999999</v>
      </c>
      <c r="U913">
        <f t="shared" si="99"/>
        <v>10</v>
      </c>
      <c r="V913">
        <f t="shared" si="100"/>
        <v>498.19</v>
      </c>
      <c r="W913">
        <f t="shared" si="101"/>
        <v>49.819000000000017</v>
      </c>
      <c r="X913">
        <f t="shared" si="102"/>
        <v>4</v>
      </c>
      <c r="Y913" cm="1">
        <f t="array" ref="Y913">_xlfn.IFS(H913=0.1,1,H913=0.15,1,H913=0.05,1,H913=0,0)</f>
        <v>1</v>
      </c>
      <c r="Z913">
        <f t="shared" si="103"/>
        <v>1</v>
      </c>
      <c r="AA913">
        <f t="shared" si="104"/>
        <v>2023</v>
      </c>
    </row>
    <row r="914" spans="1:27" x14ac:dyDescent="0.3">
      <c r="A914" s="2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L914" t="s">
        <v>59</v>
      </c>
      <c r="M914">
        <v>0</v>
      </c>
      <c r="N914" t="s">
        <v>1835</v>
      </c>
      <c r="O914" t="s">
        <v>1836</v>
      </c>
      <c r="P914">
        <v>15.13</v>
      </c>
      <c r="Q914" s="2">
        <v>45672</v>
      </c>
      <c r="R914" s="2">
        <v>45680</v>
      </c>
      <c r="S914" t="s">
        <v>44</v>
      </c>
      <c r="T914">
        <f t="shared" si="98"/>
        <v>6103.576</v>
      </c>
      <c r="U914">
        <f t="shared" si="99"/>
        <v>10</v>
      </c>
      <c r="V914">
        <f t="shared" si="100"/>
        <v>6764.94</v>
      </c>
      <c r="W914">
        <f t="shared" si="101"/>
        <v>676.49399999999969</v>
      </c>
      <c r="X914">
        <f t="shared" si="102"/>
        <v>8</v>
      </c>
      <c r="Y914" cm="1">
        <f t="array" ref="Y914">_xlfn.IFS(H914=0.1,1,H914=0.15,1,H914=0.05,1,H914=0,0)</f>
        <v>1</v>
      </c>
      <c r="Z914">
        <f t="shared" si="103"/>
        <v>18</v>
      </c>
      <c r="AA914">
        <f t="shared" si="104"/>
        <v>2025</v>
      </c>
    </row>
    <row r="915" spans="1:27" x14ac:dyDescent="0.3">
      <c r="A915" s="2">
        <v>45626</v>
      </c>
      <c r="B915" t="s">
        <v>19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62</v>
      </c>
      <c r="L915" t="s">
        <v>35</v>
      </c>
      <c r="M915">
        <v>0</v>
      </c>
      <c r="N915" t="s">
        <v>1837</v>
      </c>
      <c r="O915" t="s">
        <v>1838</v>
      </c>
      <c r="P915">
        <v>34.6</v>
      </c>
      <c r="Q915" s="2">
        <v>45626</v>
      </c>
      <c r="R915" s="2">
        <v>45631</v>
      </c>
      <c r="S915" t="s">
        <v>28</v>
      </c>
      <c r="T915">
        <f t="shared" si="98"/>
        <v>2381.08</v>
      </c>
      <c r="U915">
        <f t="shared" si="99"/>
        <v>0</v>
      </c>
      <c r="V915">
        <f t="shared" si="100"/>
        <v>2346.4800000000005</v>
      </c>
      <c r="W915">
        <f t="shared" si="101"/>
        <v>0</v>
      </c>
      <c r="X915">
        <f t="shared" si="102"/>
        <v>5</v>
      </c>
      <c r="Y915" cm="1">
        <f t="array" ref="Y915">_xlfn.IFS(H915=0.1,1,H915=0.15,1,H915=0.05,1,H915=0,0)</f>
        <v>0</v>
      </c>
      <c r="Z915">
        <f t="shared" si="103"/>
        <v>0</v>
      </c>
      <c r="AA915">
        <f t="shared" si="104"/>
        <v>2024</v>
      </c>
    </row>
    <row r="916" spans="1:27" x14ac:dyDescent="0.3">
      <c r="A916" s="2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6473.9739999999993</v>
      </c>
      <c r="K916" t="s">
        <v>58</v>
      </c>
      <c r="L916" t="s">
        <v>41</v>
      </c>
      <c r="M916">
        <v>0</v>
      </c>
      <c r="N916" t="s">
        <v>1839</v>
      </c>
      <c r="O916" t="s">
        <v>1840</v>
      </c>
      <c r="P916">
        <v>42.18</v>
      </c>
      <c r="Q916" s="2">
        <v>45348</v>
      </c>
      <c r="R916" s="2">
        <v>45358</v>
      </c>
      <c r="S916" t="s">
        <v>28</v>
      </c>
      <c r="T916">
        <f t="shared" si="98"/>
        <v>6516.1539999999995</v>
      </c>
      <c r="U916">
        <f t="shared" si="99"/>
        <v>15</v>
      </c>
      <c r="V916">
        <f t="shared" si="100"/>
        <v>7616.44</v>
      </c>
      <c r="W916">
        <f t="shared" si="101"/>
        <v>1142.4660000000003</v>
      </c>
      <c r="X916">
        <f t="shared" si="102"/>
        <v>10</v>
      </c>
      <c r="Y916" cm="1">
        <f t="array" ref="Y916">_xlfn.IFS(H916=0.1,1,H916=0.15,1,H916=0.05,1,H916=0,0)</f>
        <v>1</v>
      </c>
      <c r="Z916">
        <f t="shared" si="103"/>
        <v>13</v>
      </c>
      <c r="AA916">
        <f t="shared" si="104"/>
        <v>2024</v>
      </c>
    </row>
    <row r="917" spans="1:27" x14ac:dyDescent="0.3">
      <c r="A917" s="2">
        <v>45819</v>
      </c>
      <c r="B917" t="s">
        <v>39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68</v>
      </c>
      <c r="J917">
        <v>5018.6220000000003</v>
      </c>
      <c r="K917" t="s">
        <v>58</v>
      </c>
      <c r="L917" t="s">
        <v>35</v>
      </c>
      <c r="M917">
        <v>0</v>
      </c>
      <c r="N917" t="s">
        <v>1841</v>
      </c>
      <c r="O917" t="s">
        <v>1842</v>
      </c>
      <c r="P917">
        <v>16.399999999999999</v>
      </c>
      <c r="Q917" s="2">
        <v>45819</v>
      </c>
      <c r="R917" s="2">
        <v>45823</v>
      </c>
      <c r="S917" t="s">
        <v>44</v>
      </c>
      <c r="T917">
        <f t="shared" si="98"/>
        <v>5035.0219999999999</v>
      </c>
      <c r="U917">
        <f t="shared" si="99"/>
        <v>5</v>
      </c>
      <c r="V917">
        <f t="shared" si="100"/>
        <v>5282.76</v>
      </c>
      <c r="W917">
        <f t="shared" si="101"/>
        <v>264.13799999999992</v>
      </c>
      <c r="X917">
        <f t="shared" si="102"/>
        <v>4</v>
      </c>
      <c r="Y917" cm="1">
        <f t="array" ref="Y917">_xlfn.IFS(H917=0.1,1,H917=0.15,1,H917=0.05,1,H917=0,0)</f>
        <v>1</v>
      </c>
      <c r="Z917">
        <f t="shared" si="103"/>
        <v>19</v>
      </c>
      <c r="AA917">
        <f t="shared" si="104"/>
        <v>2025</v>
      </c>
    </row>
    <row r="918" spans="1:27" x14ac:dyDescent="0.3">
      <c r="A918" s="2">
        <v>45259</v>
      </c>
      <c r="B918" t="s">
        <v>45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62</v>
      </c>
      <c r="L918" t="s">
        <v>59</v>
      </c>
      <c r="M918">
        <v>0</v>
      </c>
      <c r="N918" t="s">
        <v>1843</v>
      </c>
      <c r="O918" t="s">
        <v>1844</v>
      </c>
      <c r="P918">
        <v>12.05</v>
      </c>
      <c r="Q918" s="2">
        <v>45259</v>
      </c>
      <c r="R918" s="2">
        <v>45264</v>
      </c>
      <c r="S918" t="s">
        <v>50</v>
      </c>
      <c r="T918">
        <f t="shared" si="98"/>
        <v>2959.0600000000004</v>
      </c>
      <c r="U918">
        <f t="shared" si="99"/>
        <v>0</v>
      </c>
      <c r="V918">
        <f t="shared" si="100"/>
        <v>2947.01</v>
      </c>
      <c r="W918">
        <f t="shared" si="101"/>
        <v>0</v>
      </c>
      <c r="X918">
        <f t="shared" si="102"/>
        <v>5</v>
      </c>
      <c r="Y918" cm="1">
        <f t="array" ref="Y918">_xlfn.IFS(H918=0.1,1,H918=0.15,1,H918=0.05,1,H918=0,0)</f>
        <v>0</v>
      </c>
      <c r="Z918">
        <f t="shared" si="103"/>
        <v>0</v>
      </c>
      <c r="AA918">
        <f t="shared" si="104"/>
        <v>2023</v>
      </c>
    </row>
    <row r="919" spans="1:27" x14ac:dyDescent="0.3">
      <c r="A919" s="2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62</v>
      </c>
      <c r="L919" t="s">
        <v>41</v>
      </c>
      <c r="M919">
        <v>1</v>
      </c>
      <c r="N919" t="s">
        <v>1845</v>
      </c>
      <c r="O919" t="s">
        <v>1846</v>
      </c>
      <c r="P919">
        <v>39.159999999999997</v>
      </c>
      <c r="Q919" s="2">
        <v>45470</v>
      </c>
      <c r="R919" s="2">
        <v>45478</v>
      </c>
      <c r="S919" t="s">
        <v>38</v>
      </c>
      <c r="T919">
        <f t="shared" si="98"/>
        <v>4252.9160000000002</v>
      </c>
      <c r="U919">
        <f t="shared" si="99"/>
        <v>5</v>
      </c>
      <c r="V919">
        <f t="shared" si="100"/>
        <v>4434.4800000000005</v>
      </c>
      <c r="W919">
        <f t="shared" si="101"/>
        <v>221.72400000000016</v>
      </c>
      <c r="X919">
        <f t="shared" si="102"/>
        <v>8</v>
      </c>
      <c r="Y919" cm="1">
        <f t="array" ref="Y919">_xlfn.IFS(H919=0.1,1,H919=0.15,1,H919=0.05,1,H919=0,0)</f>
        <v>1</v>
      </c>
      <c r="Z919">
        <f t="shared" si="103"/>
        <v>12</v>
      </c>
      <c r="AA919">
        <f t="shared" si="104"/>
        <v>2024</v>
      </c>
    </row>
    <row r="920" spans="1:27" x14ac:dyDescent="0.3">
      <c r="A920" s="2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68</v>
      </c>
      <c r="J920">
        <v>3511.105</v>
      </c>
      <c r="K920" t="s">
        <v>24</v>
      </c>
      <c r="L920" t="s">
        <v>41</v>
      </c>
      <c r="M920">
        <v>0</v>
      </c>
      <c r="N920" t="s">
        <v>1847</v>
      </c>
      <c r="O920" t="s">
        <v>1848</v>
      </c>
      <c r="P920">
        <v>48.73</v>
      </c>
      <c r="Q920" s="2">
        <v>45432</v>
      </c>
      <c r="R920" s="2">
        <v>45439</v>
      </c>
      <c r="S920" t="s">
        <v>38</v>
      </c>
      <c r="T920">
        <f t="shared" si="98"/>
        <v>3559.835</v>
      </c>
      <c r="U920">
        <f t="shared" si="99"/>
        <v>5</v>
      </c>
      <c r="V920">
        <f t="shared" si="100"/>
        <v>3695.9</v>
      </c>
      <c r="W920">
        <f t="shared" si="101"/>
        <v>184.79500000000007</v>
      </c>
      <c r="X920">
        <f t="shared" si="102"/>
        <v>7</v>
      </c>
      <c r="Y920" cm="1">
        <f t="array" ref="Y920">_xlfn.IFS(H920=0.1,1,H920=0.15,1,H920=0.05,1,H920=0,0)</f>
        <v>1</v>
      </c>
      <c r="Z920">
        <f t="shared" si="103"/>
        <v>13</v>
      </c>
      <c r="AA920">
        <f t="shared" si="104"/>
        <v>2024</v>
      </c>
    </row>
    <row r="921" spans="1:27" x14ac:dyDescent="0.3">
      <c r="A921" s="2">
        <v>45094</v>
      </c>
      <c r="B921" t="s">
        <v>71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5125.2000000000007</v>
      </c>
      <c r="K921" t="s">
        <v>34</v>
      </c>
      <c r="L921" t="s">
        <v>41</v>
      </c>
      <c r="M921">
        <v>1</v>
      </c>
      <c r="N921" t="s">
        <v>1849</v>
      </c>
      <c r="O921" t="s">
        <v>1850</v>
      </c>
      <c r="P921">
        <v>8.11</v>
      </c>
      <c r="Q921" s="2">
        <v>45094</v>
      </c>
      <c r="R921" s="2">
        <v>45099</v>
      </c>
      <c r="S921" t="s">
        <v>74</v>
      </c>
      <c r="T921">
        <f t="shared" si="98"/>
        <v>5134.3100000000004</v>
      </c>
      <c r="U921">
        <f t="shared" si="99"/>
        <v>0</v>
      </c>
      <c r="V921">
        <f t="shared" si="100"/>
        <v>5125.2000000000007</v>
      </c>
      <c r="W921">
        <f t="shared" si="101"/>
        <v>0</v>
      </c>
      <c r="X921">
        <f t="shared" si="102"/>
        <v>5</v>
      </c>
      <c r="Y921" cm="1">
        <f t="array" ref="Y921">_xlfn.IFS(H921=0.1,1,H921=0.15,1,H921=0.05,1,H921=0,0)</f>
        <v>0</v>
      </c>
      <c r="Z921">
        <f t="shared" si="103"/>
        <v>0</v>
      </c>
      <c r="AA921">
        <f t="shared" si="104"/>
        <v>2023</v>
      </c>
    </row>
    <row r="922" spans="1:27" x14ac:dyDescent="0.3">
      <c r="A922" s="2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62</v>
      </c>
      <c r="L922" t="s">
        <v>41</v>
      </c>
      <c r="M922">
        <v>1</v>
      </c>
      <c r="N922" t="s">
        <v>1851</v>
      </c>
      <c r="O922" t="s">
        <v>1852</v>
      </c>
      <c r="P922">
        <v>48.27</v>
      </c>
      <c r="Q922" s="2">
        <v>45602</v>
      </c>
      <c r="R922" s="2">
        <v>45609</v>
      </c>
      <c r="S922" t="s">
        <v>28</v>
      </c>
      <c r="T922">
        <f t="shared" si="98"/>
        <v>2032.24</v>
      </c>
      <c r="U922">
        <f t="shared" si="99"/>
        <v>10</v>
      </c>
      <c r="V922">
        <f t="shared" si="100"/>
        <v>2203.3000000000002</v>
      </c>
      <c r="W922">
        <f t="shared" si="101"/>
        <v>220.33000000000015</v>
      </c>
      <c r="X922">
        <f t="shared" si="102"/>
        <v>7</v>
      </c>
      <c r="Y922" cm="1">
        <f t="array" ref="Y922">_xlfn.IFS(H922=0.1,1,H922=0.15,1,H922=0.05,1,H922=0,0)</f>
        <v>1</v>
      </c>
      <c r="Z922">
        <f t="shared" si="103"/>
        <v>11</v>
      </c>
      <c r="AA922">
        <f t="shared" si="104"/>
        <v>2024</v>
      </c>
    </row>
    <row r="923" spans="1:27" x14ac:dyDescent="0.3">
      <c r="A923" s="2">
        <v>45700</v>
      </c>
      <c r="B923" t="s">
        <v>39</v>
      </c>
      <c r="C923" t="s">
        <v>132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1853</v>
      </c>
      <c r="O923" t="s">
        <v>1854</v>
      </c>
      <c r="P923">
        <v>12.22</v>
      </c>
      <c r="Q923" s="2">
        <v>45700</v>
      </c>
      <c r="R923" s="2">
        <v>45708</v>
      </c>
      <c r="S923" t="s">
        <v>44</v>
      </c>
      <c r="T923">
        <f t="shared" si="98"/>
        <v>269.94000000000005</v>
      </c>
      <c r="U923">
        <f t="shared" si="99"/>
        <v>15</v>
      </c>
      <c r="V923">
        <f t="shared" si="100"/>
        <v>303.2</v>
      </c>
      <c r="W923">
        <f t="shared" si="101"/>
        <v>45.479999999999961</v>
      </c>
      <c r="X923">
        <f t="shared" si="102"/>
        <v>8</v>
      </c>
      <c r="Y923" cm="1">
        <f t="array" ref="Y923">_xlfn.IFS(H923=0.1,1,H923=0.15,1,H923=0.05,1,H923=0,0)</f>
        <v>1</v>
      </c>
      <c r="Z923">
        <f t="shared" si="103"/>
        <v>4</v>
      </c>
      <c r="AA923">
        <f t="shared" si="104"/>
        <v>2025</v>
      </c>
    </row>
    <row r="924" spans="1:27" x14ac:dyDescent="0.3">
      <c r="A924" s="2">
        <v>45756</v>
      </c>
      <c r="B924" t="s">
        <v>39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1855</v>
      </c>
      <c r="O924" t="s">
        <v>1242</v>
      </c>
      <c r="P924">
        <v>30.86</v>
      </c>
      <c r="Q924" s="2">
        <v>45756</v>
      </c>
      <c r="R924" s="2">
        <v>45761</v>
      </c>
      <c r="S924" t="s">
        <v>44</v>
      </c>
      <c r="T924">
        <f t="shared" si="98"/>
        <v>2104.58</v>
      </c>
      <c r="U924">
        <f t="shared" si="99"/>
        <v>0</v>
      </c>
      <c r="V924">
        <f t="shared" si="100"/>
        <v>2073.7199999999998</v>
      </c>
      <c r="W924">
        <f t="shared" si="101"/>
        <v>0</v>
      </c>
      <c r="X924">
        <f t="shared" si="102"/>
        <v>5</v>
      </c>
      <c r="Y924" cm="1">
        <f t="array" ref="Y924">_xlfn.IFS(H924=0.1,1,H924=0.15,1,H924=0.05,1,H924=0,0)</f>
        <v>0</v>
      </c>
      <c r="Z924">
        <f t="shared" si="103"/>
        <v>0</v>
      </c>
      <c r="AA924">
        <f t="shared" si="104"/>
        <v>2025</v>
      </c>
    </row>
    <row r="925" spans="1:27" x14ac:dyDescent="0.3">
      <c r="A925" s="2">
        <v>45522</v>
      </c>
      <c r="B925" t="s">
        <v>39</v>
      </c>
      <c r="C925" t="s">
        <v>81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1856</v>
      </c>
      <c r="O925" t="s">
        <v>1857</v>
      </c>
      <c r="P925">
        <v>12.04</v>
      </c>
      <c r="Q925" s="2">
        <v>45522</v>
      </c>
      <c r="R925" s="2">
        <v>45530</v>
      </c>
      <c r="S925" t="s">
        <v>44</v>
      </c>
      <c r="T925">
        <f t="shared" si="98"/>
        <v>3282.3389999999999</v>
      </c>
      <c r="U925">
        <f t="shared" si="99"/>
        <v>5</v>
      </c>
      <c r="V925">
        <f t="shared" si="100"/>
        <v>3442.42</v>
      </c>
      <c r="W925">
        <f t="shared" si="101"/>
        <v>172.12100000000009</v>
      </c>
      <c r="X925">
        <f t="shared" si="102"/>
        <v>8</v>
      </c>
      <c r="Y925" cm="1">
        <f t="array" ref="Y925">_xlfn.IFS(H925=0.1,1,H925=0.15,1,H925=0.05,1,H925=0,0)</f>
        <v>1</v>
      </c>
      <c r="Z925">
        <f t="shared" si="103"/>
        <v>19</v>
      </c>
      <c r="AA925">
        <f t="shared" si="104"/>
        <v>2024</v>
      </c>
    </row>
    <row r="926" spans="1:27" x14ac:dyDescent="0.3">
      <c r="A926" s="2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1858</v>
      </c>
      <c r="O926" t="s">
        <v>1205</v>
      </c>
      <c r="P926">
        <v>30.29</v>
      </c>
      <c r="Q926" s="2">
        <v>44977</v>
      </c>
      <c r="R926" s="2">
        <v>44980</v>
      </c>
      <c r="S926" t="s">
        <v>50</v>
      </c>
      <c r="T926">
        <f t="shared" si="98"/>
        <v>593.22449999999992</v>
      </c>
      <c r="U926">
        <f t="shared" si="99"/>
        <v>5</v>
      </c>
      <c r="V926">
        <f t="shared" si="100"/>
        <v>591.51</v>
      </c>
      <c r="W926">
        <f t="shared" si="101"/>
        <v>29.575500000000034</v>
      </c>
      <c r="X926">
        <f t="shared" si="102"/>
        <v>3</v>
      </c>
      <c r="Y926" cm="1">
        <f t="array" ref="Y926">_xlfn.IFS(H926=0.1,1,H926=0.15,1,H926=0.05,1,H926=0,0)</f>
        <v>1</v>
      </c>
      <c r="Z926">
        <f t="shared" si="103"/>
        <v>3</v>
      </c>
      <c r="AA926">
        <f t="shared" si="104"/>
        <v>2023</v>
      </c>
    </row>
    <row r="927" spans="1:27" x14ac:dyDescent="0.3">
      <c r="A927" s="2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1859</v>
      </c>
      <c r="O927" t="s">
        <v>1860</v>
      </c>
      <c r="P927">
        <v>26.43</v>
      </c>
      <c r="Q927" s="2">
        <v>45775</v>
      </c>
      <c r="R927" s="2">
        <v>45785</v>
      </c>
      <c r="S927" t="s">
        <v>44</v>
      </c>
      <c r="T927">
        <f t="shared" si="98"/>
        <v>493.60200000000003</v>
      </c>
      <c r="U927">
        <f t="shared" si="99"/>
        <v>5</v>
      </c>
      <c r="V927">
        <f t="shared" si="100"/>
        <v>491.76</v>
      </c>
      <c r="W927">
        <f t="shared" si="101"/>
        <v>24.587999999999965</v>
      </c>
      <c r="X927">
        <f t="shared" si="102"/>
        <v>10</v>
      </c>
      <c r="Y927" cm="1">
        <f t="array" ref="Y927">_xlfn.IFS(H927=0.1,1,H927=0.15,1,H927=0.05,1,H927=0,0)</f>
        <v>1</v>
      </c>
      <c r="Z927">
        <f t="shared" si="103"/>
        <v>6</v>
      </c>
      <c r="AA927">
        <f t="shared" si="104"/>
        <v>2025</v>
      </c>
    </row>
    <row r="928" spans="1:27" x14ac:dyDescent="0.3">
      <c r="A928" s="2">
        <v>45148</v>
      </c>
      <c r="B928" t="s">
        <v>45</v>
      </c>
      <c r="C928" t="s">
        <v>132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1861</v>
      </c>
      <c r="O928" t="s">
        <v>1862</v>
      </c>
      <c r="P928">
        <v>46.98</v>
      </c>
      <c r="Q928" s="2">
        <v>45148</v>
      </c>
      <c r="R928" s="2">
        <v>45151</v>
      </c>
      <c r="S928" t="s">
        <v>50</v>
      </c>
      <c r="T928">
        <f t="shared" si="98"/>
        <v>226.32</v>
      </c>
      <c r="U928">
        <f t="shared" si="99"/>
        <v>0</v>
      </c>
      <c r="V928">
        <f t="shared" si="100"/>
        <v>179.34</v>
      </c>
      <c r="W928">
        <f t="shared" si="101"/>
        <v>0</v>
      </c>
      <c r="X928">
        <f t="shared" si="102"/>
        <v>3</v>
      </c>
      <c r="Y928" cm="1">
        <f t="array" ref="Y928">_xlfn.IFS(H928=0.1,1,H928=0.15,1,H928=0.05,1,H928=0,0)</f>
        <v>0</v>
      </c>
      <c r="Z928">
        <f t="shared" si="103"/>
        <v>0</v>
      </c>
      <c r="AA928">
        <f t="shared" si="104"/>
        <v>2023</v>
      </c>
    </row>
    <row r="929" spans="1:27" x14ac:dyDescent="0.3">
      <c r="A929" s="2">
        <v>45467</v>
      </c>
      <c r="B929" t="s">
        <v>39</v>
      </c>
      <c r="C929" t="s">
        <v>81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1863</v>
      </c>
      <c r="O929" t="s">
        <v>1864</v>
      </c>
      <c r="P929">
        <v>10.36</v>
      </c>
      <c r="Q929" s="2">
        <v>45467</v>
      </c>
      <c r="R929" s="2">
        <v>45472</v>
      </c>
      <c r="S929" t="s">
        <v>44</v>
      </c>
      <c r="T929">
        <f t="shared" si="98"/>
        <v>2296.288</v>
      </c>
      <c r="U929">
        <f t="shared" si="99"/>
        <v>10</v>
      </c>
      <c r="V929">
        <f t="shared" si="100"/>
        <v>2539.92</v>
      </c>
      <c r="W929">
        <f t="shared" si="101"/>
        <v>253.99200000000019</v>
      </c>
      <c r="X929">
        <f t="shared" si="102"/>
        <v>5</v>
      </c>
      <c r="Y929" cm="1">
        <f t="array" ref="Y929">_xlfn.IFS(H929=0.1,1,H929=0.15,1,H929=0.05,1,H929=0,0)</f>
        <v>1</v>
      </c>
      <c r="Z929">
        <f t="shared" si="103"/>
        <v>12</v>
      </c>
      <c r="AA929">
        <f t="shared" si="104"/>
        <v>2024</v>
      </c>
    </row>
    <row r="930" spans="1:27" x14ac:dyDescent="0.3">
      <c r="A930" s="2">
        <v>45144</v>
      </c>
      <c r="B930" t="s">
        <v>45</v>
      </c>
      <c r="C930" t="s">
        <v>132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62</v>
      </c>
      <c r="L930" t="s">
        <v>59</v>
      </c>
      <c r="M930">
        <v>0</v>
      </c>
      <c r="N930" t="s">
        <v>1865</v>
      </c>
      <c r="O930" t="s">
        <v>1866</v>
      </c>
      <c r="P930">
        <v>27.66</v>
      </c>
      <c r="Q930" s="2">
        <v>45144</v>
      </c>
      <c r="R930" s="2">
        <v>45150</v>
      </c>
      <c r="S930" t="s">
        <v>50</v>
      </c>
      <c r="T930">
        <f t="shared" si="98"/>
        <v>891.78949999999998</v>
      </c>
      <c r="U930">
        <f t="shared" si="99"/>
        <v>5</v>
      </c>
      <c r="V930">
        <f t="shared" si="100"/>
        <v>909.61</v>
      </c>
      <c r="W930">
        <f t="shared" si="101"/>
        <v>45.480500000000006</v>
      </c>
      <c r="X930">
        <f t="shared" si="102"/>
        <v>6</v>
      </c>
      <c r="Y930" cm="1">
        <f t="array" ref="Y930">_xlfn.IFS(H930=0.1,1,H930=0.15,1,H930=0.05,1,H930=0,0)</f>
        <v>1</v>
      </c>
      <c r="Z930">
        <f t="shared" si="103"/>
        <v>13</v>
      </c>
      <c r="AA930">
        <f t="shared" si="104"/>
        <v>2023</v>
      </c>
    </row>
    <row r="931" spans="1:27" x14ac:dyDescent="0.3">
      <c r="A931" s="2">
        <v>45622</v>
      </c>
      <c r="B931" t="s">
        <v>19</v>
      </c>
      <c r="C931" t="s">
        <v>81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65</v>
      </c>
      <c r="L931" t="s">
        <v>59</v>
      </c>
      <c r="M931">
        <v>1</v>
      </c>
      <c r="N931" t="s">
        <v>1867</v>
      </c>
      <c r="O931" t="s">
        <v>1179</v>
      </c>
      <c r="P931">
        <v>11.57</v>
      </c>
      <c r="Q931" s="2">
        <v>45622</v>
      </c>
      <c r="R931" s="2">
        <v>45626</v>
      </c>
      <c r="S931" t="s">
        <v>28</v>
      </c>
      <c r="T931">
        <f t="shared" si="98"/>
        <v>2774.049</v>
      </c>
      <c r="U931">
        <f t="shared" si="99"/>
        <v>10</v>
      </c>
      <c r="V931">
        <f t="shared" si="100"/>
        <v>3068.31</v>
      </c>
      <c r="W931">
        <f t="shared" si="101"/>
        <v>306.83100000000013</v>
      </c>
      <c r="X931">
        <f t="shared" si="102"/>
        <v>4</v>
      </c>
      <c r="Y931" cm="1">
        <f t="array" ref="Y931">_xlfn.IFS(H931=0.1,1,H931=0.15,1,H931=0.05,1,H931=0,0)</f>
        <v>1</v>
      </c>
      <c r="Z931">
        <f t="shared" si="103"/>
        <v>7</v>
      </c>
      <c r="AA931">
        <f t="shared" si="104"/>
        <v>2024</v>
      </c>
    </row>
    <row r="932" spans="1:27" x14ac:dyDescent="0.3">
      <c r="A932" s="2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62</v>
      </c>
      <c r="L932" t="s">
        <v>25</v>
      </c>
      <c r="M932">
        <v>0</v>
      </c>
      <c r="N932" t="s">
        <v>1868</v>
      </c>
      <c r="O932" t="s">
        <v>1869</v>
      </c>
      <c r="P932">
        <v>32.94</v>
      </c>
      <c r="Q932" s="2">
        <v>45694</v>
      </c>
      <c r="R932" s="2">
        <v>45698</v>
      </c>
      <c r="S932" t="s">
        <v>28</v>
      </c>
      <c r="T932">
        <f t="shared" si="98"/>
        <v>1556.3430000000001</v>
      </c>
      <c r="U932">
        <f t="shared" si="99"/>
        <v>10</v>
      </c>
      <c r="V932">
        <f t="shared" si="100"/>
        <v>1692.67</v>
      </c>
      <c r="W932">
        <f t="shared" si="101"/>
        <v>169.26700000000005</v>
      </c>
      <c r="X932">
        <f t="shared" si="102"/>
        <v>4</v>
      </c>
      <c r="Y932" cm="1">
        <f t="array" ref="Y932">_xlfn.IFS(H932=0.1,1,H932=0.15,1,H932=0.05,1,H932=0,0)</f>
        <v>1</v>
      </c>
      <c r="Z932">
        <f t="shared" si="103"/>
        <v>7</v>
      </c>
      <c r="AA932">
        <f t="shared" si="104"/>
        <v>2025</v>
      </c>
    </row>
    <row r="933" spans="1:27" x14ac:dyDescent="0.3">
      <c r="A933" s="2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68</v>
      </c>
      <c r="J933">
        <v>1189.932</v>
      </c>
      <c r="K933" t="s">
        <v>24</v>
      </c>
      <c r="L933" t="s">
        <v>25</v>
      </c>
      <c r="M933">
        <v>0</v>
      </c>
      <c r="N933" t="s">
        <v>1870</v>
      </c>
      <c r="O933" t="s">
        <v>1871</v>
      </c>
      <c r="P933">
        <v>30.33</v>
      </c>
      <c r="Q933" s="2">
        <v>45736</v>
      </c>
      <c r="R933" s="2">
        <v>45742</v>
      </c>
      <c r="S933" t="s">
        <v>28</v>
      </c>
      <c r="T933">
        <f t="shared" si="98"/>
        <v>1220.2619999999999</v>
      </c>
      <c r="U933">
        <f t="shared" si="99"/>
        <v>15</v>
      </c>
      <c r="V933">
        <f t="shared" si="100"/>
        <v>1399.92</v>
      </c>
      <c r="W933">
        <f t="shared" si="101"/>
        <v>209.98800000000006</v>
      </c>
      <c r="X933">
        <f t="shared" si="102"/>
        <v>6</v>
      </c>
      <c r="Y933" cm="1">
        <f t="array" ref="Y933">_xlfn.IFS(H933=0.1,1,H933=0.15,1,H933=0.05,1,H933=0,0)</f>
        <v>1</v>
      </c>
      <c r="Z933">
        <f t="shared" si="103"/>
        <v>3</v>
      </c>
      <c r="AA933">
        <f t="shared" si="104"/>
        <v>2025</v>
      </c>
    </row>
    <row r="934" spans="1:27" x14ac:dyDescent="0.3">
      <c r="A934" s="2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4042.7819999999988</v>
      </c>
      <c r="K934" t="s">
        <v>58</v>
      </c>
      <c r="L934" t="s">
        <v>41</v>
      </c>
      <c r="M934">
        <v>0</v>
      </c>
      <c r="N934" t="s">
        <v>1872</v>
      </c>
      <c r="O934" t="s">
        <v>1873</v>
      </c>
      <c r="P934">
        <v>48.13</v>
      </c>
      <c r="Q934" s="2">
        <v>45545</v>
      </c>
      <c r="R934" s="2">
        <v>45547</v>
      </c>
      <c r="S934" t="s">
        <v>38</v>
      </c>
      <c r="T934">
        <f t="shared" si="98"/>
        <v>4090.9119999999989</v>
      </c>
      <c r="U934">
        <f t="shared" si="99"/>
        <v>5</v>
      </c>
      <c r="V934">
        <f t="shared" si="100"/>
        <v>4255.5599999999995</v>
      </c>
      <c r="W934">
        <f t="shared" si="101"/>
        <v>212.7780000000007</v>
      </c>
      <c r="X934">
        <f t="shared" si="102"/>
        <v>2</v>
      </c>
      <c r="Y934" cm="1">
        <f t="array" ref="Y934">_xlfn.IFS(H934=0.1,1,H934=0.15,1,H934=0.05,1,H934=0,0)</f>
        <v>1</v>
      </c>
      <c r="Z934">
        <f t="shared" si="103"/>
        <v>9</v>
      </c>
      <c r="AA934">
        <f t="shared" si="104"/>
        <v>2024</v>
      </c>
    </row>
    <row r="935" spans="1:27" x14ac:dyDescent="0.3">
      <c r="A935" s="2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65</v>
      </c>
      <c r="L935" t="s">
        <v>35</v>
      </c>
      <c r="M935">
        <v>0</v>
      </c>
      <c r="N935" t="s">
        <v>1874</v>
      </c>
      <c r="O935" t="s">
        <v>1875</v>
      </c>
      <c r="P935">
        <v>19.850000000000001</v>
      </c>
      <c r="Q935" s="2">
        <v>45708</v>
      </c>
      <c r="R935" s="2">
        <v>45718</v>
      </c>
      <c r="S935" t="s">
        <v>38</v>
      </c>
      <c r="T935">
        <f t="shared" si="98"/>
        <v>10048.829</v>
      </c>
      <c r="U935">
        <f t="shared" si="99"/>
        <v>10</v>
      </c>
      <c r="V935">
        <f t="shared" si="100"/>
        <v>11143.31</v>
      </c>
      <c r="W935">
        <f t="shared" si="101"/>
        <v>1114.3310000000001</v>
      </c>
      <c r="X935">
        <f t="shared" si="102"/>
        <v>10</v>
      </c>
      <c r="Y935" cm="1">
        <f t="array" ref="Y935">_xlfn.IFS(H935=0.1,1,H935=0.15,1,H935=0.05,1,H935=0,0)</f>
        <v>1</v>
      </c>
      <c r="Z935">
        <f t="shared" si="103"/>
        <v>19</v>
      </c>
      <c r="AA935">
        <f t="shared" si="104"/>
        <v>2025</v>
      </c>
    </row>
    <row r="936" spans="1:27" x14ac:dyDescent="0.3">
      <c r="A936" s="2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L936" t="s">
        <v>59</v>
      </c>
      <c r="M936">
        <v>0</v>
      </c>
      <c r="N936" t="s">
        <v>1876</v>
      </c>
      <c r="O936" t="s">
        <v>1877</v>
      </c>
      <c r="P936">
        <v>46.12</v>
      </c>
      <c r="Q936" s="2">
        <v>44946</v>
      </c>
      <c r="R936" s="2">
        <v>44952</v>
      </c>
      <c r="S936" t="s">
        <v>28</v>
      </c>
      <c r="T936">
        <f t="shared" si="98"/>
        <v>5947.4574999999995</v>
      </c>
      <c r="U936">
        <f t="shared" si="99"/>
        <v>15</v>
      </c>
      <c r="V936">
        <f t="shared" si="100"/>
        <v>6942.75</v>
      </c>
      <c r="W936">
        <f t="shared" si="101"/>
        <v>1041.4125000000004</v>
      </c>
      <c r="X936">
        <f t="shared" si="102"/>
        <v>6</v>
      </c>
      <c r="Y936" cm="1">
        <f t="array" ref="Y936">_xlfn.IFS(H936=0.1,1,H936=0.15,1,H936=0.05,1,H936=0,0)</f>
        <v>1</v>
      </c>
      <c r="Z936">
        <f t="shared" si="103"/>
        <v>15</v>
      </c>
      <c r="AA936">
        <f t="shared" si="104"/>
        <v>2023</v>
      </c>
    </row>
    <row r="937" spans="1:27" x14ac:dyDescent="0.3">
      <c r="A937" s="2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62</v>
      </c>
      <c r="L937" t="s">
        <v>59</v>
      </c>
      <c r="M937">
        <v>1</v>
      </c>
      <c r="N937" t="s">
        <v>1878</v>
      </c>
      <c r="O937" t="s">
        <v>1879</v>
      </c>
      <c r="P937">
        <v>35.770000000000003</v>
      </c>
      <c r="Q937" s="2">
        <v>45354</v>
      </c>
      <c r="R937" s="2">
        <v>45357</v>
      </c>
      <c r="S937" t="s">
        <v>28</v>
      </c>
      <c r="T937">
        <f t="shared" si="98"/>
        <v>204.13150000000002</v>
      </c>
      <c r="U937">
        <f t="shared" si="99"/>
        <v>5</v>
      </c>
      <c r="V937">
        <f t="shared" si="100"/>
        <v>176.17</v>
      </c>
      <c r="W937">
        <f t="shared" si="101"/>
        <v>8.8084999999999809</v>
      </c>
      <c r="X937">
        <f t="shared" si="102"/>
        <v>3</v>
      </c>
      <c r="Y937" cm="1">
        <f t="array" ref="Y937">_xlfn.IFS(H937=0.1,1,H937=0.15,1,H937=0.05,1,H937=0,0)</f>
        <v>1</v>
      </c>
      <c r="Z937">
        <f t="shared" si="103"/>
        <v>1</v>
      </c>
      <c r="AA937">
        <f t="shared" si="104"/>
        <v>2024</v>
      </c>
    </row>
    <row r="938" spans="1:27" x14ac:dyDescent="0.3">
      <c r="A938" s="2">
        <v>45257</v>
      </c>
      <c r="B938" t="s">
        <v>71</v>
      </c>
      <c r="C938" t="s">
        <v>132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62</v>
      </c>
      <c r="L938" t="s">
        <v>59</v>
      </c>
      <c r="M938">
        <v>1</v>
      </c>
      <c r="N938" t="s">
        <v>1880</v>
      </c>
      <c r="O938" t="s">
        <v>1881</v>
      </c>
      <c r="P938">
        <v>43.69</v>
      </c>
      <c r="Q938" s="2">
        <v>45257</v>
      </c>
      <c r="R938" s="2">
        <v>45263</v>
      </c>
      <c r="S938" t="s">
        <v>74</v>
      </c>
      <c r="T938">
        <f t="shared" si="98"/>
        <v>108.806</v>
      </c>
      <c r="U938">
        <f t="shared" si="99"/>
        <v>10</v>
      </c>
      <c r="V938">
        <f t="shared" si="100"/>
        <v>71.239999999999995</v>
      </c>
      <c r="W938">
        <f t="shared" si="101"/>
        <v>7.1239999999999952</v>
      </c>
      <c r="X938">
        <f t="shared" si="102"/>
        <v>6</v>
      </c>
      <c r="Y938" cm="1">
        <f t="array" ref="Y938">_xlfn.IFS(H938=0.1,1,H938=0.15,1,H938=0.05,1,H938=0,0)</f>
        <v>1</v>
      </c>
      <c r="Z938">
        <f t="shared" si="103"/>
        <v>1</v>
      </c>
      <c r="AA938">
        <f t="shared" si="104"/>
        <v>2023</v>
      </c>
    </row>
    <row r="939" spans="1:27" x14ac:dyDescent="0.3">
      <c r="A939" s="2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1882</v>
      </c>
      <c r="O939" t="s">
        <v>1883</v>
      </c>
      <c r="P939">
        <v>17.850000000000001</v>
      </c>
      <c r="Q939" s="2">
        <v>45606</v>
      </c>
      <c r="R939" s="2">
        <v>45614</v>
      </c>
      <c r="S939" t="s">
        <v>28</v>
      </c>
      <c r="T939">
        <f t="shared" si="98"/>
        <v>392.43</v>
      </c>
      <c r="U939">
        <f t="shared" si="99"/>
        <v>0</v>
      </c>
      <c r="V939">
        <f t="shared" si="100"/>
        <v>374.58</v>
      </c>
      <c r="W939">
        <f t="shared" si="101"/>
        <v>0</v>
      </c>
      <c r="X939">
        <f t="shared" si="102"/>
        <v>8</v>
      </c>
      <c r="Y939" cm="1">
        <f t="array" ref="Y939">_xlfn.IFS(H939=0.1,1,H939=0.15,1,H939=0.05,1,H939=0,0)</f>
        <v>0</v>
      </c>
      <c r="Z939">
        <f t="shared" si="103"/>
        <v>0</v>
      </c>
      <c r="AA939">
        <f t="shared" si="104"/>
        <v>2024</v>
      </c>
    </row>
    <row r="940" spans="1:27" x14ac:dyDescent="0.3">
      <c r="A940" s="2">
        <v>45692</v>
      </c>
      <c r="B940" t="s">
        <v>45</v>
      </c>
      <c r="C940" t="s">
        <v>81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65</v>
      </c>
      <c r="L940" t="s">
        <v>35</v>
      </c>
      <c r="M940">
        <v>0</v>
      </c>
      <c r="N940" t="s">
        <v>1884</v>
      </c>
      <c r="O940" t="s">
        <v>1885</v>
      </c>
      <c r="P940">
        <v>26.81</v>
      </c>
      <c r="Q940" s="2">
        <v>45692</v>
      </c>
      <c r="R940" s="2">
        <v>45696</v>
      </c>
      <c r="S940" t="s">
        <v>50</v>
      </c>
      <c r="T940">
        <f t="shared" si="98"/>
        <v>3617.1169999999997</v>
      </c>
      <c r="U940">
        <f t="shared" si="99"/>
        <v>10</v>
      </c>
      <c r="V940">
        <f t="shared" si="100"/>
        <v>3989.23</v>
      </c>
      <c r="W940">
        <f t="shared" si="101"/>
        <v>398.92300000000023</v>
      </c>
      <c r="X940">
        <f t="shared" si="102"/>
        <v>4</v>
      </c>
      <c r="Y940" cm="1">
        <f t="array" ref="Y940">_xlfn.IFS(H940=0.1,1,H940=0.15,1,H940=0.05,1,H940=0,0)</f>
        <v>1</v>
      </c>
      <c r="Z940">
        <f t="shared" si="103"/>
        <v>7</v>
      </c>
      <c r="AA940">
        <f t="shared" si="104"/>
        <v>2025</v>
      </c>
    </row>
    <row r="941" spans="1:27" x14ac:dyDescent="0.3">
      <c r="A941" s="2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L941" t="s">
        <v>59</v>
      </c>
      <c r="M941">
        <v>0</v>
      </c>
      <c r="N941" t="s">
        <v>1886</v>
      </c>
      <c r="O941" t="s">
        <v>1887</v>
      </c>
      <c r="P941">
        <v>19.72</v>
      </c>
      <c r="Q941" s="2">
        <v>45343</v>
      </c>
      <c r="R941" s="2">
        <v>45353</v>
      </c>
      <c r="S941" t="s">
        <v>28</v>
      </c>
      <c r="T941">
        <f t="shared" si="98"/>
        <v>181.505</v>
      </c>
      <c r="U941">
        <f t="shared" si="99"/>
        <v>5</v>
      </c>
      <c r="V941">
        <f t="shared" si="100"/>
        <v>170.3</v>
      </c>
      <c r="W941">
        <f t="shared" si="101"/>
        <v>8.5150000000000148</v>
      </c>
      <c r="X941">
        <f t="shared" si="102"/>
        <v>10</v>
      </c>
      <c r="Y941" cm="1">
        <f t="array" ref="Y941">_xlfn.IFS(H941=0.1,1,H941=0.15,1,H941=0.05,1,H941=0,0)</f>
        <v>1</v>
      </c>
      <c r="Z941">
        <f t="shared" si="103"/>
        <v>5</v>
      </c>
      <c r="AA941">
        <f t="shared" si="104"/>
        <v>2024</v>
      </c>
    </row>
    <row r="942" spans="1:27" x14ac:dyDescent="0.3">
      <c r="A942" s="2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7689.7800000000007</v>
      </c>
      <c r="K942" t="s">
        <v>65</v>
      </c>
      <c r="L942" t="s">
        <v>59</v>
      </c>
      <c r="M942">
        <v>0</v>
      </c>
      <c r="N942" t="s">
        <v>1888</v>
      </c>
      <c r="O942" t="s">
        <v>1889</v>
      </c>
      <c r="P942">
        <v>15.38</v>
      </c>
      <c r="Q942" s="2">
        <v>45009</v>
      </c>
      <c r="R942" s="2">
        <v>45014</v>
      </c>
      <c r="S942" t="s">
        <v>28</v>
      </c>
      <c r="T942">
        <f t="shared" si="98"/>
        <v>7705.1600000000008</v>
      </c>
      <c r="U942">
        <f t="shared" si="99"/>
        <v>10</v>
      </c>
      <c r="V942">
        <f t="shared" si="100"/>
        <v>8544.2000000000007</v>
      </c>
      <c r="W942">
        <f t="shared" si="101"/>
        <v>854.42000000000007</v>
      </c>
      <c r="X942">
        <f t="shared" si="102"/>
        <v>5</v>
      </c>
      <c r="Y942" cm="1">
        <f t="array" ref="Y942">_xlfn.IFS(H942=0.1,1,H942=0.15,1,H942=0.05,1,H942=0,0)</f>
        <v>1</v>
      </c>
      <c r="Z942">
        <f t="shared" si="103"/>
        <v>17</v>
      </c>
      <c r="AA942">
        <f t="shared" si="104"/>
        <v>2023</v>
      </c>
    </row>
    <row r="943" spans="1:27" x14ac:dyDescent="0.3">
      <c r="A943" s="2">
        <v>45417</v>
      </c>
      <c r="B943" t="s">
        <v>29</v>
      </c>
      <c r="C943" t="s">
        <v>132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1890</v>
      </c>
      <c r="O943" t="s">
        <v>1891</v>
      </c>
      <c r="P943">
        <v>32.67</v>
      </c>
      <c r="Q943" s="2">
        <v>45417</v>
      </c>
      <c r="R943" s="2">
        <v>45425</v>
      </c>
      <c r="S943" t="s">
        <v>38</v>
      </c>
      <c r="T943">
        <f t="shared" si="98"/>
        <v>274.91399999999999</v>
      </c>
      <c r="U943">
        <f t="shared" si="99"/>
        <v>10</v>
      </c>
      <c r="V943">
        <f t="shared" si="100"/>
        <v>269.15999999999997</v>
      </c>
      <c r="W943">
        <f t="shared" si="101"/>
        <v>26.915999999999968</v>
      </c>
      <c r="X943">
        <f t="shared" si="102"/>
        <v>8</v>
      </c>
      <c r="Y943" cm="1">
        <f t="array" ref="Y943">_xlfn.IFS(H943=0.1,1,H943=0.15,1,H943=0.05,1,H943=0,0)</f>
        <v>1</v>
      </c>
      <c r="Z943">
        <f t="shared" si="103"/>
        <v>3</v>
      </c>
      <c r="AA943">
        <f t="shared" si="104"/>
        <v>2024</v>
      </c>
    </row>
    <row r="944" spans="1:27" x14ac:dyDescent="0.3">
      <c r="A944" s="2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L944" t="s">
        <v>59</v>
      </c>
      <c r="M944">
        <v>0</v>
      </c>
      <c r="N944" t="s">
        <v>1892</v>
      </c>
      <c r="O944" t="s">
        <v>1893</v>
      </c>
      <c r="P944">
        <v>35.729999999999997</v>
      </c>
      <c r="Q944" s="2">
        <v>45569</v>
      </c>
      <c r="R944" s="2">
        <v>45572</v>
      </c>
      <c r="S944" t="s">
        <v>38</v>
      </c>
      <c r="T944">
        <f t="shared" si="98"/>
        <v>6572.9159999999993</v>
      </c>
      <c r="U944">
        <f t="shared" si="99"/>
        <v>10</v>
      </c>
      <c r="V944">
        <f t="shared" si="100"/>
        <v>7263.5399999999991</v>
      </c>
      <c r="W944">
        <f t="shared" si="101"/>
        <v>726.35399999999936</v>
      </c>
      <c r="X944">
        <f t="shared" si="102"/>
        <v>3</v>
      </c>
      <c r="Y944" cm="1">
        <f t="array" ref="Y944">_xlfn.IFS(H944=0.1,1,H944=0.15,1,H944=0.05,1,H944=0,0)</f>
        <v>1</v>
      </c>
      <c r="Z944">
        <f t="shared" si="103"/>
        <v>18</v>
      </c>
      <c r="AA944">
        <f t="shared" si="104"/>
        <v>2024</v>
      </c>
    </row>
    <row r="945" spans="1:27" x14ac:dyDescent="0.3">
      <c r="A945" s="2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1894</v>
      </c>
      <c r="O945" t="s">
        <v>829</v>
      </c>
      <c r="P945">
        <v>9.89</v>
      </c>
      <c r="Q945" s="2">
        <v>45661</v>
      </c>
      <c r="R945" s="2">
        <v>45671</v>
      </c>
      <c r="S945" t="s">
        <v>38</v>
      </c>
      <c r="T945">
        <f t="shared" si="98"/>
        <v>399.83</v>
      </c>
      <c r="U945">
        <f t="shared" si="99"/>
        <v>0</v>
      </c>
      <c r="V945">
        <f t="shared" si="100"/>
        <v>389.94</v>
      </c>
      <c r="W945">
        <f t="shared" si="101"/>
        <v>0</v>
      </c>
      <c r="X945">
        <f t="shared" si="102"/>
        <v>10</v>
      </c>
      <c r="Y945" cm="1">
        <f t="array" ref="Y945">_xlfn.IFS(H945=0.1,1,H945=0.15,1,H945=0.05,1,H945=0,0)</f>
        <v>0</v>
      </c>
      <c r="Z945">
        <f t="shared" si="103"/>
        <v>0</v>
      </c>
      <c r="AA945">
        <f t="shared" si="104"/>
        <v>2025</v>
      </c>
    </row>
    <row r="946" spans="1:27" x14ac:dyDescent="0.3">
      <c r="A946" s="2">
        <v>45649</v>
      </c>
      <c r="B946" t="s">
        <v>45</v>
      </c>
      <c r="C946" t="s">
        <v>132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1895</v>
      </c>
      <c r="O946" t="s">
        <v>1896</v>
      </c>
      <c r="P946">
        <v>34.36</v>
      </c>
      <c r="Q946" s="2">
        <v>45649</v>
      </c>
      <c r="R946" s="2">
        <v>45659</v>
      </c>
      <c r="S946" t="s">
        <v>50</v>
      </c>
      <c r="T946">
        <f t="shared" si="98"/>
        <v>1994.1339999999998</v>
      </c>
      <c r="U946">
        <f t="shared" si="99"/>
        <v>5</v>
      </c>
      <c r="V946">
        <f t="shared" si="100"/>
        <v>2062.92</v>
      </c>
      <c r="W946">
        <f t="shared" si="101"/>
        <v>103.14600000000019</v>
      </c>
      <c r="X946">
        <f t="shared" si="102"/>
        <v>10</v>
      </c>
      <c r="Y946" cm="1">
        <f t="array" ref="Y946">_xlfn.IFS(H946=0.1,1,H946=0.15,1,H946=0.05,1,H946=0,0)</f>
        <v>1</v>
      </c>
      <c r="Z946">
        <f t="shared" si="103"/>
        <v>12</v>
      </c>
      <c r="AA946">
        <f t="shared" si="104"/>
        <v>2024</v>
      </c>
    </row>
    <row r="947" spans="1:27" x14ac:dyDescent="0.3">
      <c r="A947" s="2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68</v>
      </c>
      <c r="J947">
        <v>8654.4619999999995</v>
      </c>
      <c r="K947" t="s">
        <v>34</v>
      </c>
      <c r="L947" t="s">
        <v>59</v>
      </c>
      <c r="M947">
        <v>0</v>
      </c>
      <c r="N947" t="s">
        <v>1897</v>
      </c>
      <c r="O947" t="s">
        <v>1898</v>
      </c>
      <c r="P947">
        <v>26.12</v>
      </c>
      <c r="Q947" s="2">
        <v>44955</v>
      </c>
      <c r="R947" s="2">
        <v>44965</v>
      </c>
      <c r="S947" t="s">
        <v>50</v>
      </c>
      <c r="T947">
        <f t="shared" si="98"/>
        <v>8680.5820000000003</v>
      </c>
      <c r="U947">
        <f t="shared" si="99"/>
        <v>5</v>
      </c>
      <c r="V947">
        <f t="shared" si="100"/>
        <v>9109.9599999999991</v>
      </c>
      <c r="W947">
        <f t="shared" si="101"/>
        <v>455.49799999999959</v>
      </c>
      <c r="X947">
        <f t="shared" si="102"/>
        <v>10</v>
      </c>
      <c r="Y947" cm="1">
        <f t="array" ref="Y947">_xlfn.IFS(H947=0.1,1,H947=0.15,1,H947=0.05,1,H947=0,0)</f>
        <v>1</v>
      </c>
      <c r="Z947">
        <f t="shared" si="103"/>
        <v>17</v>
      </c>
      <c r="AA947">
        <f t="shared" si="104"/>
        <v>2023</v>
      </c>
    </row>
    <row r="948" spans="1:27" x14ac:dyDescent="0.3">
      <c r="A948" s="2">
        <v>45515</v>
      </c>
      <c r="B948" t="s">
        <v>71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65</v>
      </c>
      <c r="L948" t="s">
        <v>25</v>
      </c>
      <c r="M948">
        <v>0</v>
      </c>
      <c r="N948" t="s">
        <v>1899</v>
      </c>
      <c r="O948" t="s">
        <v>1900</v>
      </c>
      <c r="P948">
        <v>26.03</v>
      </c>
      <c r="Q948" s="2">
        <v>45515</v>
      </c>
      <c r="R948" s="2">
        <v>45521</v>
      </c>
      <c r="S948" t="s">
        <v>74</v>
      </c>
      <c r="T948">
        <f t="shared" si="98"/>
        <v>2854.712</v>
      </c>
      <c r="U948">
        <f t="shared" si="99"/>
        <v>5</v>
      </c>
      <c r="V948">
        <f t="shared" si="100"/>
        <v>2977.56</v>
      </c>
      <c r="W948">
        <f t="shared" si="101"/>
        <v>148.87800000000016</v>
      </c>
      <c r="X948">
        <f t="shared" si="102"/>
        <v>6</v>
      </c>
      <c r="Y948" cm="1">
        <f t="array" ref="Y948">_xlfn.IFS(H948=0.1,1,H948=0.15,1,H948=0.05,1,H948=0,0)</f>
        <v>1</v>
      </c>
      <c r="Z948">
        <f t="shared" si="103"/>
        <v>12</v>
      </c>
      <c r="AA948">
        <f t="shared" si="104"/>
        <v>2024</v>
      </c>
    </row>
    <row r="949" spans="1:27" x14ac:dyDescent="0.3">
      <c r="A949" s="2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1901</v>
      </c>
      <c r="O949" t="s">
        <v>1902</v>
      </c>
      <c r="P949">
        <v>45.35</v>
      </c>
      <c r="Q949" s="2">
        <v>45255</v>
      </c>
      <c r="R949" s="2">
        <v>45260</v>
      </c>
      <c r="S949" t="s">
        <v>44</v>
      </c>
      <c r="T949">
        <f t="shared" si="98"/>
        <v>1009.5500000000001</v>
      </c>
      <c r="U949">
        <f t="shared" si="99"/>
        <v>0</v>
      </c>
      <c r="V949">
        <f t="shared" si="100"/>
        <v>964.2</v>
      </c>
      <c r="W949">
        <f t="shared" si="101"/>
        <v>0</v>
      </c>
      <c r="X949">
        <f t="shared" si="102"/>
        <v>5</v>
      </c>
      <c r="Y949" cm="1">
        <f t="array" ref="Y949">_xlfn.IFS(H949=0.1,1,H949=0.15,1,H949=0.05,1,H949=0,0)</f>
        <v>0</v>
      </c>
      <c r="Z949">
        <f t="shared" si="103"/>
        <v>0</v>
      </c>
      <c r="AA949">
        <f t="shared" si="104"/>
        <v>2023</v>
      </c>
    </row>
    <row r="950" spans="1:27" x14ac:dyDescent="0.3">
      <c r="A950" s="2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6188.5620000000008</v>
      </c>
      <c r="K950" t="s">
        <v>24</v>
      </c>
      <c r="L950" t="s">
        <v>35</v>
      </c>
      <c r="M950">
        <v>0</v>
      </c>
      <c r="N950" t="s">
        <v>1903</v>
      </c>
      <c r="O950" t="s">
        <v>1904</v>
      </c>
      <c r="P950">
        <v>36.549999999999997</v>
      </c>
      <c r="Q950" s="2">
        <v>45720</v>
      </c>
      <c r="R950" s="2">
        <v>45724</v>
      </c>
      <c r="S950" t="s">
        <v>44</v>
      </c>
      <c r="T950">
        <f t="shared" si="98"/>
        <v>6225.112000000001</v>
      </c>
      <c r="U950">
        <f t="shared" si="99"/>
        <v>10</v>
      </c>
      <c r="V950">
        <f t="shared" si="100"/>
        <v>6876.18</v>
      </c>
      <c r="W950">
        <f t="shared" si="101"/>
        <v>687.61799999999948</v>
      </c>
      <c r="X950">
        <f t="shared" si="102"/>
        <v>4</v>
      </c>
      <c r="Y950" cm="1">
        <f t="array" ref="Y950">_xlfn.IFS(H950=0.1,1,H950=0.15,1,H950=0.05,1,H950=0,0)</f>
        <v>1</v>
      </c>
      <c r="Z950">
        <f t="shared" si="103"/>
        <v>18</v>
      </c>
      <c r="AA950">
        <f t="shared" si="104"/>
        <v>2025</v>
      </c>
    </row>
    <row r="951" spans="1:27" x14ac:dyDescent="0.3">
      <c r="A951" s="2">
        <v>45709</v>
      </c>
      <c r="B951" t="s">
        <v>39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1905</v>
      </c>
      <c r="O951" t="s">
        <v>1593</v>
      </c>
      <c r="P951">
        <v>28.35</v>
      </c>
      <c r="Q951" s="2">
        <v>45709</v>
      </c>
      <c r="R951" s="2">
        <v>45717</v>
      </c>
      <c r="S951" t="s">
        <v>44</v>
      </c>
      <c r="T951">
        <f t="shared" si="98"/>
        <v>1796.09</v>
      </c>
      <c r="U951">
        <f t="shared" si="99"/>
        <v>0</v>
      </c>
      <c r="V951">
        <f t="shared" si="100"/>
        <v>1767.7399999999998</v>
      </c>
      <c r="W951">
        <f t="shared" si="101"/>
        <v>0</v>
      </c>
      <c r="X951">
        <f t="shared" si="102"/>
        <v>8</v>
      </c>
      <c r="Y951" cm="1">
        <f t="array" ref="Y951">_xlfn.IFS(H951=0.1,1,H951=0.15,1,H951=0.05,1,H951=0,0)</f>
        <v>0</v>
      </c>
      <c r="Z951">
        <f t="shared" si="103"/>
        <v>0</v>
      </c>
      <c r="AA951">
        <f t="shared" si="104"/>
        <v>2025</v>
      </c>
    </row>
    <row r="952" spans="1:27" x14ac:dyDescent="0.3">
      <c r="A952" s="2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1906</v>
      </c>
      <c r="O952" t="s">
        <v>1907</v>
      </c>
      <c r="P952">
        <v>30.27</v>
      </c>
      <c r="Q952" s="2">
        <v>45714</v>
      </c>
      <c r="R952" s="2">
        <v>45716</v>
      </c>
      <c r="S952" t="s">
        <v>28</v>
      </c>
      <c r="T952">
        <f t="shared" si="98"/>
        <v>5093.13</v>
      </c>
      <c r="U952">
        <f t="shared" si="99"/>
        <v>0</v>
      </c>
      <c r="V952">
        <f t="shared" si="100"/>
        <v>5062.8599999999997</v>
      </c>
      <c r="W952">
        <f t="shared" si="101"/>
        <v>0</v>
      </c>
      <c r="X952">
        <f t="shared" si="102"/>
        <v>2</v>
      </c>
      <c r="Y952" cm="1">
        <f t="array" ref="Y952">_xlfn.IFS(H952=0.1,1,H952=0.15,1,H952=0.05,1,H952=0,0)</f>
        <v>0</v>
      </c>
      <c r="Z952">
        <f t="shared" si="103"/>
        <v>0</v>
      </c>
      <c r="AA952">
        <f t="shared" si="104"/>
        <v>2025</v>
      </c>
    </row>
    <row r="953" spans="1:27" x14ac:dyDescent="0.3">
      <c r="A953" s="2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62</v>
      </c>
      <c r="L953" t="s">
        <v>41</v>
      </c>
      <c r="M953">
        <v>0</v>
      </c>
      <c r="N953" t="s">
        <v>1908</v>
      </c>
      <c r="O953" t="s">
        <v>1909</v>
      </c>
      <c r="P953">
        <v>35.92</v>
      </c>
      <c r="Q953" s="2">
        <v>45380</v>
      </c>
      <c r="R953" s="2">
        <v>45388</v>
      </c>
      <c r="S953" t="s">
        <v>28</v>
      </c>
      <c r="T953">
        <f t="shared" si="98"/>
        <v>3092.8</v>
      </c>
      <c r="U953">
        <f t="shared" si="99"/>
        <v>0</v>
      </c>
      <c r="V953">
        <f t="shared" si="100"/>
        <v>3056.88</v>
      </c>
      <c r="W953">
        <f t="shared" si="101"/>
        <v>0</v>
      </c>
      <c r="X953">
        <f t="shared" si="102"/>
        <v>8</v>
      </c>
      <c r="Y953" cm="1">
        <f t="array" ref="Y953">_xlfn.IFS(H953=0.1,1,H953=0.15,1,H953=0.05,1,H953=0,0)</f>
        <v>0</v>
      </c>
      <c r="Z953">
        <f t="shared" si="103"/>
        <v>0</v>
      </c>
      <c r="AA953">
        <f t="shared" si="104"/>
        <v>2024</v>
      </c>
    </row>
    <row r="954" spans="1:27" x14ac:dyDescent="0.3">
      <c r="A954" s="2">
        <v>45805</v>
      </c>
      <c r="B954" t="s">
        <v>71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L954" t="s">
        <v>59</v>
      </c>
      <c r="M954">
        <v>0</v>
      </c>
      <c r="N954" t="s">
        <v>1910</v>
      </c>
      <c r="O954" t="s">
        <v>1911</v>
      </c>
      <c r="P954">
        <v>38.29</v>
      </c>
      <c r="Q954" s="2">
        <v>45805</v>
      </c>
      <c r="R954" s="2">
        <v>45809</v>
      </c>
      <c r="S954" t="s">
        <v>74</v>
      </c>
      <c r="T954">
        <f t="shared" si="98"/>
        <v>1448.56</v>
      </c>
      <c r="U954">
        <f t="shared" si="99"/>
        <v>0</v>
      </c>
      <c r="V954">
        <f t="shared" si="100"/>
        <v>1410.27</v>
      </c>
      <c r="W954">
        <f t="shared" si="101"/>
        <v>0</v>
      </c>
      <c r="X954">
        <f t="shared" si="102"/>
        <v>4</v>
      </c>
      <c r="Y954" cm="1">
        <f t="array" ref="Y954">_xlfn.IFS(H954=0.1,1,H954=0.15,1,H954=0.05,1,H954=0,0)</f>
        <v>0</v>
      </c>
      <c r="Z954">
        <f t="shared" si="103"/>
        <v>0</v>
      </c>
      <c r="AA954">
        <f t="shared" si="104"/>
        <v>2025</v>
      </c>
    </row>
    <row r="955" spans="1:27" x14ac:dyDescent="0.3">
      <c r="A955" s="2">
        <v>45436</v>
      </c>
      <c r="B955" t="s">
        <v>71</v>
      </c>
      <c r="C955" t="s">
        <v>132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1912</v>
      </c>
      <c r="O955" t="s">
        <v>1913</v>
      </c>
      <c r="P955">
        <v>49.98</v>
      </c>
      <c r="Q955" s="2">
        <v>45436</v>
      </c>
      <c r="R955" s="2">
        <v>45442</v>
      </c>
      <c r="S955" t="s">
        <v>74</v>
      </c>
      <c r="T955">
        <f t="shared" si="98"/>
        <v>2857.98</v>
      </c>
      <c r="U955">
        <f t="shared" si="99"/>
        <v>0</v>
      </c>
      <c r="V955">
        <f t="shared" si="100"/>
        <v>2808</v>
      </c>
      <c r="W955">
        <f t="shared" si="101"/>
        <v>0</v>
      </c>
      <c r="X955">
        <f t="shared" si="102"/>
        <v>6</v>
      </c>
      <c r="Y955" cm="1">
        <f t="array" ref="Y955">_xlfn.IFS(H955=0.1,1,H955=0.15,1,H955=0.05,1,H955=0,0)</f>
        <v>0</v>
      </c>
      <c r="Z955">
        <f t="shared" si="103"/>
        <v>0</v>
      </c>
      <c r="AA955">
        <f t="shared" si="104"/>
        <v>2024</v>
      </c>
    </row>
    <row r="956" spans="1:27" x14ac:dyDescent="0.3">
      <c r="A956" s="2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L956" t="s">
        <v>59</v>
      </c>
      <c r="M956">
        <v>0</v>
      </c>
      <c r="N956" t="s">
        <v>1914</v>
      </c>
      <c r="O956" t="s">
        <v>1915</v>
      </c>
      <c r="P956">
        <v>22.57</v>
      </c>
      <c r="Q956" s="2">
        <v>45058</v>
      </c>
      <c r="R956" s="2">
        <v>45063</v>
      </c>
      <c r="S956" t="s">
        <v>38</v>
      </c>
      <c r="T956">
        <f t="shared" si="98"/>
        <v>2059.1530000000002</v>
      </c>
      <c r="U956">
        <f t="shared" si="99"/>
        <v>10</v>
      </c>
      <c r="V956">
        <f t="shared" si="100"/>
        <v>2262.87</v>
      </c>
      <c r="W956">
        <f t="shared" si="101"/>
        <v>226.28699999999981</v>
      </c>
      <c r="X956">
        <f t="shared" si="102"/>
        <v>5</v>
      </c>
      <c r="Y956" cm="1">
        <f t="array" ref="Y956">_xlfn.IFS(H956=0.1,1,H956=0.15,1,H956=0.05,1,H956=0,0)</f>
        <v>1</v>
      </c>
      <c r="Z956">
        <f t="shared" si="103"/>
        <v>9</v>
      </c>
      <c r="AA956">
        <f t="shared" si="104"/>
        <v>2023</v>
      </c>
    </row>
    <row r="957" spans="1:27" x14ac:dyDescent="0.3">
      <c r="A957" s="2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65</v>
      </c>
      <c r="L957" t="s">
        <v>41</v>
      </c>
      <c r="M957">
        <v>0</v>
      </c>
      <c r="N957" t="s">
        <v>1916</v>
      </c>
      <c r="O957" t="s">
        <v>1455</v>
      </c>
      <c r="P957">
        <v>5.38</v>
      </c>
      <c r="Q957" s="2">
        <v>45210</v>
      </c>
      <c r="R957" s="2">
        <v>45214</v>
      </c>
      <c r="S957" t="s">
        <v>38</v>
      </c>
      <c r="T957">
        <f t="shared" si="98"/>
        <v>1393.5320000000002</v>
      </c>
      <c r="U957">
        <f t="shared" si="99"/>
        <v>15</v>
      </c>
      <c r="V957">
        <f t="shared" si="100"/>
        <v>1633.12</v>
      </c>
      <c r="W957">
        <f t="shared" si="101"/>
        <v>244.96799999999985</v>
      </c>
      <c r="X957">
        <f t="shared" si="102"/>
        <v>4</v>
      </c>
      <c r="Y957" cm="1">
        <f t="array" ref="Y957">_xlfn.IFS(H957=0.1,1,H957=0.15,1,H957=0.05,1,H957=0,0)</f>
        <v>1</v>
      </c>
      <c r="Z957">
        <f t="shared" si="103"/>
        <v>4</v>
      </c>
      <c r="AA957">
        <f t="shared" si="104"/>
        <v>2023</v>
      </c>
    </row>
    <row r="958" spans="1:27" x14ac:dyDescent="0.3">
      <c r="A958" s="2">
        <v>45316</v>
      </c>
      <c r="B958" t="s">
        <v>39</v>
      </c>
      <c r="C958" t="s">
        <v>132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1917</v>
      </c>
      <c r="O958" t="s">
        <v>1918</v>
      </c>
      <c r="P958">
        <v>6.15</v>
      </c>
      <c r="Q958" s="2">
        <v>45316</v>
      </c>
      <c r="R958" s="2">
        <v>45323</v>
      </c>
      <c r="S958" t="s">
        <v>44</v>
      </c>
      <c r="T958">
        <f t="shared" si="98"/>
        <v>52.780999999999999</v>
      </c>
      <c r="U958">
        <f t="shared" si="99"/>
        <v>15</v>
      </c>
      <c r="V958">
        <f t="shared" si="100"/>
        <v>54.86</v>
      </c>
      <c r="W958">
        <f t="shared" si="101"/>
        <v>8.2289999999999992</v>
      </c>
      <c r="X958">
        <f t="shared" si="102"/>
        <v>7</v>
      </c>
      <c r="Y958" cm="1">
        <f t="array" ref="Y958">_xlfn.IFS(H958=0.1,1,H958=0.15,1,H958=0.05,1,H958=0,0)</f>
        <v>1</v>
      </c>
      <c r="Z958">
        <f t="shared" si="103"/>
        <v>2</v>
      </c>
      <c r="AA958">
        <f t="shared" si="104"/>
        <v>2024</v>
      </c>
    </row>
    <row r="959" spans="1:27" x14ac:dyDescent="0.3">
      <c r="A959" s="2">
        <v>44960</v>
      </c>
      <c r="B959" t="s">
        <v>19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1919</v>
      </c>
      <c r="O959" t="s">
        <v>1920</v>
      </c>
      <c r="P959">
        <v>17.940000000000001</v>
      </c>
      <c r="Q959" s="2">
        <v>44960</v>
      </c>
      <c r="R959" s="2">
        <v>44963</v>
      </c>
      <c r="S959" t="s">
        <v>28</v>
      </c>
      <c r="T959">
        <f t="shared" si="98"/>
        <v>3203.9679999999998</v>
      </c>
      <c r="U959">
        <f t="shared" si="99"/>
        <v>10</v>
      </c>
      <c r="V959">
        <f t="shared" si="100"/>
        <v>3538.92</v>
      </c>
      <c r="W959">
        <f t="shared" si="101"/>
        <v>353.89200000000028</v>
      </c>
      <c r="X959">
        <f t="shared" si="102"/>
        <v>3</v>
      </c>
      <c r="Y959" cm="1">
        <f t="array" ref="Y959">_xlfn.IFS(H959=0.1,1,H959=0.15,1,H959=0.05,1,H959=0,0)</f>
        <v>1</v>
      </c>
      <c r="Z959">
        <f t="shared" si="103"/>
        <v>11</v>
      </c>
      <c r="AA959">
        <f t="shared" si="104"/>
        <v>2023</v>
      </c>
    </row>
    <row r="960" spans="1:27" x14ac:dyDescent="0.3">
      <c r="A960" s="2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838.43999999999994</v>
      </c>
      <c r="K960" t="s">
        <v>34</v>
      </c>
      <c r="L960" t="s">
        <v>41</v>
      </c>
      <c r="M960">
        <v>0</v>
      </c>
      <c r="N960" t="s">
        <v>1921</v>
      </c>
      <c r="O960" t="s">
        <v>306</v>
      </c>
      <c r="P960">
        <v>17.09</v>
      </c>
      <c r="Q960" s="2">
        <v>45481</v>
      </c>
      <c r="R960" s="2">
        <v>45487</v>
      </c>
      <c r="S960" t="s">
        <v>44</v>
      </c>
      <c r="T960">
        <f t="shared" si="98"/>
        <v>855.53</v>
      </c>
      <c r="U960">
        <f t="shared" si="99"/>
        <v>10</v>
      </c>
      <c r="V960">
        <f t="shared" si="100"/>
        <v>931.59999999999991</v>
      </c>
      <c r="W960">
        <f t="shared" si="101"/>
        <v>93.159999999999968</v>
      </c>
      <c r="X960">
        <f t="shared" si="102"/>
        <v>6</v>
      </c>
      <c r="Y960" cm="1">
        <f t="array" ref="Y960">_xlfn.IFS(H960=0.1,1,H960=0.15,1,H960=0.05,1,H960=0,0)</f>
        <v>1</v>
      </c>
      <c r="Z960">
        <f t="shared" si="103"/>
        <v>5</v>
      </c>
      <c r="AA960">
        <f t="shared" si="104"/>
        <v>2024</v>
      </c>
    </row>
    <row r="961" spans="1:27" x14ac:dyDescent="0.3">
      <c r="A961" s="2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1922</v>
      </c>
      <c r="O961" t="s">
        <v>1923</v>
      </c>
      <c r="P961">
        <v>45.22</v>
      </c>
      <c r="Q961" s="2">
        <v>45808</v>
      </c>
      <c r="R961" s="2">
        <v>45818</v>
      </c>
      <c r="S961" t="s">
        <v>38</v>
      </c>
      <c r="T961">
        <f t="shared" si="98"/>
        <v>1217.06</v>
      </c>
      <c r="U961">
        <f t="shared" si="99"/>
        <v>0</v>
      </c>
      <c r="V961">
        <f t="shared" si="100"/>
        <v>1170.8399999999999</v>
      </c>
      <c r="W961">
        <f t="shared" si="101"/>
        <v>0</v>
      </c>
      <c r="X961">
        <f t="shared" si="102"/>
        <v>10</v>
      </c>
      <c r="Y961" cm="1">
        <f t="array" ref="Y961">_xlfn.IFS(H961=0.1,1,H961=0.15,1,H961=0.05,1,H961=0,0)</f>
        <v>0</v>
      </c>
      <c r="Z961">
        <f t="shared" si="103"/>
        <v>0</v>
      </c>
      <c r="AA961">
        <f t="shared" si="104"/>
        <v>2025</v>
      </c>
    </row>
    <row r="962" spans="1:27" x14ac:dyDescent="0.3">
      <c r="A962" s="2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1924</v>
      </c>
      <c r="O962" t="s">
        <v>1925</v>
      </c>
      <c r="P962">
        <v>31.26</v>
      </c>
      <c r="Q962" s="2">
        <v>45239</v>
      </c>
      <c r="R962" s="2">
        <v>45242</v>
      </c>
      <c r="S962" t="s">
        <v>38</v>
      </c>
      <c r="T962">
        <f t="shared" si="98"/>
        <v>1963.905</v>
      </c>
      <c r="U962">
        <f t="shared" si="99"/>
        <v>15</v>
      </c>
      <c r="V962">
        <f t="shared" si="100"/>
        <v>2273.7000000000003</v>
      </c>
      <c r="W962">
        <f t="shared" si="101"/>
        <v>341.05500000000029</v>
      </c>
      <c r="X962">
        <f t="shared" si="102"/>
        <v>3</v>
      </c>
      <c r="Y962" cm="1">
        <f t="array" ref="Y962">_xlfn.IFS(H962=0.1,1,H962=0.15,1,H962=0.05,1,H962=0,0)</f>
        <v>1</v>
      </c>
      <c r="Z962">
        <f t="shared" si="103"/>
        <v>13</v>
      </c>
      <c r="AA962">
        <f t="shared" si="104"/>
        <v>2023</v>
      </c>
    </row>
    <row r="963" spans="1:27" x14ac:dyDescent="0.3">
      <c r="A963" s="2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L963" t="s">
        <v>59</v>
      </c>
      <c r="M963">
        <v>1</v>
      </c>
      <c r="N963" t="s">
        <v>1926</v>
      </c>
      <c r="O963" t="s">
        <v>1927</v>
      </c>
      <c r="P963">
        <v>11.02</v>
      </c>
      <c r="Q963" s="2">
        <v>45113</v>
      </c>
      <c r="R963" s="2">
        <v>45117</v>
      </c>
      <c r="S963" t="s">
        <v>44</v>
      </c>
      <c r="T963">
        <f t="shared" ref="T963:T1026" si="105">SUM(J963:P963)</f>
        <v>3029.7559999999999</v>
      </c>
      <c r="U963">
        <f t="shared" ref="U963:U1026" si="106">PRODUCT(100,H963)</f>
        <v>10</v>
      </c>
      <c r="V963">
        <f t="shared" ref="V963:V1026" si="107">PRODUCT(D963:E963)</f>
        <v>3353.04</v>
      </c>
      <c r="W963">
        <f t="shared" ref="W963:W1026" si="108" xml:space="preserve"> V963-J963</f>
        <v>335.30400000000009</v>
      </c>
      <c r="X963">
        <f t="shared" ref="X963:X1026" si="109">R963-Q963</f>
        <v>4</v>
      </c>
      <c r="Y963" cm="1">
        <f t="array" ref="Y963">_xlfn.IFS(H963=0.1,1,H963=0.15,1,H963=0.05,1,H963=0,0)</f>
        <v>1</v>
      </c>
      <c r="Z963">
        <f t="shared" ref="Z963:Z1026" si="110">PRODUCT(Y963,D963)</f>
        <v>8</v>
      </c>
      <c r="AA963">
        <f t="shared" ref="AA963:AA1026" si="111">YEAR(A963)</f>
        <v>2023</v>
      </c>
    </row>
    <row r="964" spans="1:27" x14ac:dyDescent="0.3">
      <c r="A964" s="2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1928</v>
      </c>
      <c r="O964" t="s">
        <v>1929</v>
      </c>
      <c r="P964">
        <v>22.04</v>
      </c>
      <c r="Q964" s="2">
        <v>45121</v>
      </c>
      <c r="R964" s="2">
        <v>45129</v>
      </c>
      <c r="S964" t="s">
        <v>44</v>
      </c>
      <c r="T964">
        <f t="shared" si="105"/>
        <v>1425.56</v>
      </c>
      <c r="U964">
        <f t="shared" si="106"/>
        <v>0</v>
      </c>
      <c r="V964">
        <f t="shared" si="107"/>
        <v>1403.52</v>
      </c>
      <c r="W964">
        <f t="shared" si="108"/>
        <v>0</v>
      </c>
      <c r="X964">
        <f t="shared" si="109"/>
        <v>8</v>
      </c>
      <c r="Y964" cm="1">
        <f t="array" ref="Y964">_xlfn.IFS(H964=0.1,1,H964=0.15,1,H964=0.05,1,H964=0,0)</f>
        <v>0</v>
      </c>
      <c r="Z964">
        <f t="shared" si="110"/>
        <v>0</v>
      </c>
      <c r="AA964">
        <f t="shared" si="111"/>
        <v>2023</v>
      </c>
    </row>
    <row r="965" spans="1:27" x14ac:dyDescent="0.3">
      <c r="A965" s="2">
        <v>45243</v>
      </c>
      <c r="B965" t="s">
        <v>71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68</v>
      </c>
      <c r="J965">
        <v>3204.828</v>
      </c>
      <c r="K965" t="s">
        <v>34</v>
      </c>
      <c r="L965" t="s">
        <v>41</v>
      </c>
      <c r="M965">
        <v>0</v>
      </c>
      <c r="N965" t="s">
        <v>1930</v>
      </c>
      <c r="O965" t="s">
        <v>1931</v>
      </c>
      <c r="P965">
        <v>7.52</v>
      </c>
      <c r="Q965" s="2">
        <v>45243</v>
      </c>
      <c r="R965" s="2">
        <v>45245</v>
      </c>
      <c r="S965" t="s">
        <v>74</v>
      </c>
      <c r="T965">
        <f t="shared" si="105"/>
        <v>3212.348</v>
      </c>
      <c r="U965">
        <f t="shared" si="106"/>
        <v>10</v>
      </c>
      <c r="V965">
        <f t="shared" si="107"/>
        <v>3560.92</v>
      </c>
      <c r="W965">
        <f t="shared" si="108"/>
        <v>356.0920000000001</v>
      </c>
      <c r="X965">
        <f t="shared" si="109"/>
        <v>2</v>
      </c>
      <c r="Y965" cm="1">
        <f t="array" ref="Y965">_xlfn.IFS(H965=0.1,1,H965=0.15,1,H965=0.05,1,H965=0,0)</f>
        <v>1</v>
      </c>
      <c r="Z965">
        <f t="shared" si="110"/>
        <v>11</v>
      </c>
      <c r="AA965">
        <f t="shared" si="111"/>
        <v>2023</v>
      </c>
    </row>
    <row r="966" spans="1:27" x14ac:dyDescent="0.3">
      <c r="A966" s="2">
        <v>45690</v>
      </c>
      <c r="B966" t="s">
        <v>71</v>
      </c>
      <c r="C966" t="s">
        <v>81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65</v>
      </c>
      <c r="L966" t="s">
        <v>59</v>
      </c>
      <c r="M966">
        <v>0</v>
      </c>
      <c r="N966" t="s">
        <v>1932</v>
      </c>
      <c r="O966" t="s">
        <v>1933</v>
      </c>
      <c r="P966">
        <v>47.01</v>
      </c>
      <c r="Q966" s="2">
        <v>45690</v>
      </c>
      <c r="R966" s="2">
        <v>45700</v>
      </c>
      <c r="S966" t="s">
        <v>74</v>
      </c>
      <c r="T966">
        <f t="shared" si="105"/>
        <v>1671.8805</v>
      </c>
      <c r="U966">
        <f t="shared" si="106"/>
        <v>5</v>
      </c>
      <c r="V966">
        <f t="shared" si="107"/>
        <v>1710.39</v>
      </c>
      <c r="W966">
        <f t="shared" si="108"/>
        <v>85.519500000000107</v>
      </c>
      <c r="X966">
        <f t="shared" si="109"/>
        <v>10</v>
      </c>
      <c r="Y966" cm="1">
        <f t="array" ref="Y966">_xlfn.IFS(H966=0.1,1,H966=0.15,1,H966=0.05,1,H966=0,0)</f>
        <v>1</v>
      </c>
      <c r="Z966">
        <f t="shared" si="110"/>
        <v>11</v>
      </c>
      <c r="AA966">
        <f t="shared" si="111"/>
        <v>2025</v>
      </c>
    </row>
    <row r="967" spans="1:27" x14ac:dyDescent="0.3">
      <c r="A967" s="2">
        <v>45418</v>
      </c>
      <c r="B967" t="s">
        <v>29</v>
      </c>
      <c r="C967" t="s">
        <v>132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1934</v>
      </c>
      <c r="O967" t="s">
        <v>1935</v>
      </c>
      <c r="P967">
        <v>6.8</v>
      </c>
      <c r="Q967" s="2">
        <v>45418</v>
      </c>
      <c r="R967" s="2">
        <v>45427</v>
      </c>
      <c r="S967" t="s">
        <v>38</v>
      </c>
      <c r="T967">
        <f t="shared" si="105"/>
        <v>5410.8</v>
      </c>
      <c r="U967">
        <f t="shared" si="106"/>
        <v>0</v>
      </c>
      <c r="V967">
        <f t="shared" si="107"/>
        <v>5404</v>
      </c>
      <c r="W967">
        <f t="shared" si="108"/>
        <v>0</v>
      </c>
      <c r="X967">
        <f t="shared" si="109"/>
        <v>9</v>
      </c>
      <c r="Y967" cm="1">
        <f t="array" ref="Y967">_xlfn.IFS(H967=0.1,1,H967=0.15,1,H967=0.05,1,H967=0,0)</f>
        <v>0</v>
      </c>
      <c r="Z967">
        <f t="shared" si="110"/>
        <v>0</v>
      </c>
      <c r="AA967">
        <f t="shared" si="111"/>
        <v>2024</v>
      </c>
    </row>
    <row r="968" spans="1:27" x14ac:dyDescent="0.3">
      <c r="A968" s="2">
        <v>45582</v>
      </c>
      <c r="B968" t="s">
        <v>29</v>
      </c>
      <c r="C968" t="s">
        <v>132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62</v>
      </c>
      <c r="L968" t="s">
        <v>25</v>
      </c>
      <c r="M968">
        <v>1</v>
      </c>
      <c r="N968" t="s">
        <v>1936</v>
      </c>
      <c r="O968" t="s">
        <v>1258</v>
      </c>
      <c r="P968">
        <v>13.35</v>
      </c>
      <c r="Q968" s="2">
        <v>45582</v>
      </c>
      <c r="R968" s="2">
        <v>45584</v>
      </c>
      <c r="S968" t="s">
        <v>38</v>
      </c>
      <c r="T968">
        <f t="shared" si="105"/>
        <v>6522.43</v>
      </c>
      <c r="U968">
        <f t="shared" si="106"/>
        <v>10</v>
      </c>
      <c r="V968">
        <f t="shared" si="107"/>
        <v>7231.2</v>
      </c>
      <c r="W968">
        <f t="shared" si="108"/>
        <v>723.11999999999989</v>
      </c>
      <c r="X968">
        <f t="shared" si="109"/>
        <v>2</v>
      </c>
      <c r="Y968" cm="1">
        <f t="array" ref="Y968">_xlfn.IFS(H968=0.1,1,H968=0.15,1,H968=0.05,1,H968=0,0)</f>
        <v>1</v>
      </c>
      <c r="Z968">
        <f t="shared" si="110"/>
        <v>15</v>
      </c>
      <c r="AA968">
        <f t="shared" si="111"/>
        <v>2024</v>
      </c>
    </row>
    <row r="969" spans="1:27" x14ac:dyDescent="0.3">
      <c r="A969" s="2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62</v>
      </c>
      <c r="L969" t="s">
        <v>35</v>
      </c>
      <c r="M969">
        <v>0</v>
      </c>
      <c r="N969" t="s">
        <v>1937</v>
      </c>
      <c r="O969" t="s">
        <v>1938</v>
      </c>
      <c r="P969">
        <v>22.83</v>
      </c>
      <c r="Q969" s="2">
        <v>45686</v>
      </c>
      <c r="R969" s="2">
        <v>45693</v>
      </c>
      <c r="S969" t="s">
        <v>44</v>
      </c>
      <c r="T969">
        <f t="shared" si="105"/>
        <v>4294.7789999999995</v>
      </c>
      <c r="U969">
        <f t="shared" si="106"/>
        <v>10</v>
      </c>
      <c r="V969">
        <f t="shared" si="107"/>
        <v>4746.6099999999997</v>
      </c>
      <c r="W969">
        <f t="shared" si="108"/>
        <v>474.66100000000006</v>
      </c>
      <c r="X969">
        <f t="shared" si="109"/>
        <v>7</v>
      </c>
      <c r="Y969" cm="1">
        <f t="array" ref="Y969">_xlfn.IFS(H969=0.1,1,H969=0.15,1,H969=0.05,1,H969=0,0)</f>
        <v>1</v>
      </c>
      <c r="Z969">
        <f t="shared" si="110"/>
        <v>11</v>
      </c>
      <c r="AA969">
        <f t="shared" si="111"/>
        <v>2025</v>
      </c>
    </row>
    <row r="970" spans="1:27" x14ac:dyDescent="0.3">
      <c r="A970" s="2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1939</v>
      </c>
      <c r="O970" t="s">
        <v>1940</v>
      </c>
      <c r="P970">
        <v>46.69</v>
      </c>
      <c r="Q970" s="2">
        <v>45739</v>
      </c>
      <c r="R970" s="2">
        <v>45745</v>
      </c>
      <c r="S970" t="s">
        <v>50</v>
      </c>
      <c r="T970">
        <f t="shared" si="105"/>
        <v>1561.49</v>
      </c>
      <c r="U970">
        <f t="shared" si="106"/>
        <v>0</v>
      </c>
      <c r="V970">
        <f t="shared" si="107"/>
        <v>1513.8</v>
      </c>
      <c r="W970">
        <f t="shared" si="108"/>
        <v>0</v>
      </c>
      <c r="X970">
        <f t="shared" si="109"/>
        <v>6</v>
      </c>
      <c r="Y970" cm="1">
        <f t="array" ref="Y970">_xlfn.IFS(H970=0.1,1,H970=0.15,1,H970=0.05,1,H970=0,0)</f>
        <v>0</v>
      </c>
      <c r="Z970">
        <f t="shared" si="110"/>
        <v>0</v>
      </c>
      <c r="AA970">
        <f t="shared" si="111"/>
        <v>2025</v>
      </c>
    </row>
    <row r="971" spans="1:27" x14ac:dyDescent="0.3">
      <c r="A971" s="2">
        <v>45393</v>
      </c>
      <c r="B971" t="s">
        <v>71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65</v>
      </c>
      <c r="L971" t="s">
        <v>41</v>
      </c>
      <c r="M971">
        <v>0</v>
      </c>
      <c r="N971" t="s">
        <v>1941</v>
      </c>
      <c r="O971" t="s">
        <v>1942</v>
      </c>
      <c r="P971">
        <v>6.91</v>
      </c>
      <c r="Q971" s="2">
        <v>45393</v>
      </c>
      <c r="R971" s="2">
        <v>45402</v>
      </c>
      <c r="S971" t="s">
        <v>74</v>
      </c>
      <c r="T971">
        <f t="shared" si="105"/>
        <v>6560.3899999999994</v>
      </c>
      <c r="U971">
        <f t="shared" si="106"/>
        <v>0</v>
      </c>
      <c r="V971">
        <f t="shared" si="107"/>
        <v>6553.4800000000005</v>
      </c>
      <c r="W971">
        <f t="shared" si="108"/>
        <v>0</v>
      </c>
      <c r="X971">
        <f t="shared" si="109"/>
        <v>9</v>
      </c>
      <c r="Y971" cm="1">
        <f t="array" ref="Y971">_xlfn.IFS(H971=0.1,1,H971=0.15,1,H971=0.05,1,H971=0,0)</f>
        <v>0</v>
      </c>
      <c r="Z971">
        <f t="shared" si="110"/>
        <v>0</v>
      </c>
      <c r="AA971">
        <f t="shared" si="111"/>
        <v>2024</v>
      </c>
    </row>
    <row r="972" spans="1:27" x14ac:dyDescent="0.3">
      <c r="A972" s="2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3222.1979999999999</v>
      </c>
      <c r="K972" t="s">
        <v>65</v>
      </c>
      <c r="L972" t="s">
        <v>25</v>
      </c>
      <c r="M972">
        <v>0</v>
      </c>
      <c r="N972" t="s">
        <v>1943</v>
      </c>
      <c r="O972" t="s">
        <v>1944</v>
      </c>
      <c r="P972">
        <v>19.2</v>
      </c>
      <c r="Q972" s="2">
        <v>45415</v>
      </c>
      <c r="R972" s="2">
        <v>45424</v>
      </c>
      <c r="S972" t="s">
        <v>50</v>
      </c>
      <c r="T972">
        <f t="shared" si="105"/>
        <v>3241.3979999999997</v>
      </c>
      <c r="U972">
        <f t="shared" si="106"/>
        <v>10</v>
      </c>
      <c r="V972">
        <f t="shared" si="107"/>
        <v>3580.22</v>
      </c>
      <c r="W972">
        <f t="shared" si="108"/>
        <v>358.02199999999993</v>
      </c>
      <c r="X972">
        <f t="shared" si="109"/>
        <v>9</v>
      </c>
      <c r="Y972" cm="1">
        <f t="array" ref="Y972">_xlfn.IFS(H972=0.1,1,H972=0.15,1,H972=0.05,1,H972=0,0)</f>
        <v>1</v>
      </c>
      <c r="Z972">
        <f t="shared" si="110"/>
        <v>7</v>
      </c>
      <c r="AA972">
        <f t="shared" si="111"/>
        <v>2024</v>
      </c>
    </row>
    <row r="973" spans="1:27" x14ac:dyDescent="0.3">
      <c r="A973" s="2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68</v>
      </c>
      <c r="J973">
        <v>896.07</v>
      </c>
      <c r="K973" t="s">
        <v>65</v>
      </c>
      <c r="L973" t="s">
        <v>41</v>
      </c>
      <c r="M973">
        <v>1</v>
      </c>
      <c r="N973" t="s">
        <v>1945</v>
      </c>
      <c r="O973" t="s">
        <v>1946</v>
      </c>
      <c r="P973">
        <v>15.52</v>
      </c>
      <c r="Q973" s="2">
        <v>45579</v>
      </c>
      <c r="R973" s="2">
        <v>45586</v>
      </c>
      <c r="S973" t="s">
        <v>28</v>
      </c>
      <c r="T973">
        <f t="shared" si="105"/>
        <v>912.59</v>
      </c>
      <c r="U973">
        <f t="shared" si="106"/>
        <v>15</v>
      </c>
      <c r="V973">
        <f t="shared" si="107"/>
        <v>1054.2</v>
      </c>
      <c r="W973">
        <f t="shared" si="108"/>
        <v>158.13</v>
      </c>
      <c r="X973">
        <f t="shared" si="109"/>
        <v>7</v>
      </c>
      <c r="Y973" cm="1">
        <f t="array" ref="Y973">_xlfn.IFS(H973=0.1,1,H973=0.15,1,H973=0.05,1,H973=0,0)</f>
        <v>1</v>
      </c>
      <c r="Z973">
        <f t="shared" si="110"/>
        <v>7</v>
      </c>
      <c r="AA973">
        <f t="shared" si="111"/>
        <v>2024</v>
      </c>
    </row>
    <row r="974" spans="1:27" x14ac:dyDescent="0.3">
      <c r="A974" s="2">
        <v>45330</v>
      </c>
      <c r="B974" t="s">
        <v>71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1947</v>
      </c>
      <c r="O974" t="s">
        <v>1948</v>
      </c>
      <c r="P974">
        <v>47.43</v>
      </c>
      <c r="Q974" s="2">
        <v>45330</v>
      </c>
      <c r="R974" s="2">
        <v>45335</v>
      </c>
      <c r="S974" t="s">
        <v>74</v>
      </c>
      <c r="T974">
        <f t="shared" si="105"/>
        <v>1121.9660000000001</v>
      </c>
      <c r="U974">
        <f t="shared" si="106"/>
        <v>15</v>
      </c>
      <c r="V974">
        <f t="shared" si="107"/>
        <v>1264.1600000000001</v>
      </c>
      <c r="W974">
        <f t="shared" si="108"/>
        <v>189.62400000000002</v>
      </c>
      <c r="X974">
        <f t="shared" si="109"/>
        <v>5</v>
      </c>
      <c r="Y974" cm="1">
        <f t="array" ref="Y974">_xlfn.IFS(H974=0.1,1,H974=0.15,1,H974=0.05,1,H974=0,0)</f>
        <v>1</v>
      </c>
      <c r="Z974">
        <f t="shared" si="110"/>
        <v>8</v>
      </c>
      <c r="AA974">
        <f t="shared" si="111"/>
        <v>2024</v>
      </c>
    </row>
    <row r="975" spans="1:27" x14ac:dyDescent="0.3">
      <c r="A975" s="2">
        <v>45056</v>
      </c>
      <c r="B975" t="s">
        <v>45</v>
      </c>
      <c r="C975" t="s">
        <v>81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965.12399999999991</v>
      </c>
      <c r="K975" t="s">
        <v>58</v>
      </c>
      <c r="L975" t="s">
        <v>25</v>
      </c>
      <c r="M975">
        <v>0</v>
      </c>
      <c r="N975" t="s">
        <v>1949</v>
      </c>
      <c r="O975" t="s">
        <v>1950</v>
      </c>
      <c r="P975">
        <v>34.75</v>
      </c>
      <c r="Q975" s="2">
        <v>45056</v>
      </c>
      <c r="R975" s="2">
        <v>45059</v>
      </c>
      <c r="S975" t="s">
        <v>50</v>
      </c>
      <c r="T975">
        <f t="shared" si="105"/>
        <v>999.87399999999991</v>
      </c>
      <c r="U975">
        <f t="shared" si="106"/>
        <v>10</v>
      </c>
      <c r="V975">
        <f t="shared" si="107"/>
        <v>1072.3599999999999</v>
      </c>
      <c r="W975">
        <f t="shared" si="108"/>
        <v>107.23599999999999</v>
      </c>
      <c r="X975">
        <f t="shared" si="109"/>
        <v>3</v>
      </c>
      <c r="Y975" cm="1">
        <f t="array" ref="Y975">_xlfn.IFS(H975=0.1,1,H975=0.15,1,H975=0.05,1,H975=0,0)</f>
        <v>1</v>
      </c>
      <c r="Z975">
        <f t="shared" si="110"/>
        <v>2</v>
      </c>
      <c r="AA975">
        <f t="shared" si="111"/>
        <v>2023</v>
      </c>
    </row>
    <row r="976" spans="1:27" x14ac:dyDescent="0.3">
      <c r="A976" s="2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68</v>
      </c>
      <c r="J976">
        <v>7769.1360000000004</v>
      </c>
      <c r="K976" t="s">
        <v>34</v>
      </c>
      <c r="L976" t="s">
        <v>35</v>
      </c>
      <c r="M976">
        <v>0</v>
      </c>
      <c r="N976" t="s">
        <v>1951</v>
      </c>
      <c r="O976" t="s">
        <v>1952</v>
      </c>
      <c r="P976">
        <v>6.13</v>
      </c>
      <c r="Q976" s="2">
        <v>44988</v>
      </c>
      <c r="R976" s="2">
        <v>44997</v>
      </c>
      <c r="S976" t="s">
        <v>44</v>
      </c>
      <c r="T976">
        <f t="shared" si="105"/>
        <v>7775.2660000000005</v>
      </c>
      <c r="U976">
        <f t="shared" si="106"/>
        <v>15</v>
      </c>
      <c r="V976">
        <f t="shared" si="107"/>
        <v>9140.16</v>
      </c>
      <c r="W976">
        <f t="shared" si="108"/>
        <v>1371.0239999999994</v>
      </c>
      <c r="X976">
        <f t="shared" si="109"/>
        <v>9</v>
      </c>
      <c r="Y976" cm="1">
        <f t="array" ref="Y976">_xlfn.IFS(H976=0.1,1,H976=0.15,1,H976=0.05,1,H976=0,0)</f>
        <v>1</v>
      </c>
      <c r="Z976">
        <f t="shared" si="110"/>
        <v>16</v>
      </c>
      <c r="AA976">
        <f t="shared" si="111"/>
        <v>2023</v>
      </c>
    </row>
    <row r="977" spans="1:27" x14ac:dyDescent="0.3">
      <c r="A977" s="2">
        <v>45798</v>
      </c>
      <c r="B977" t="s">
        <v>45</v>
      </c>
      <c r="C977" t="s">
        <v>81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1953</v>
      </c>
      <c r="O977" t="s">
        <v>1516</v>
      </c>
      <c r="P977">
        <v>33.979999999999997</v>
      </c>
      <c r="Q977" s="2">
        <v>45798</v>
      </c>
      <c r="R977" s="2">
        <v>45804</v>
      </c>
      <c r="S977" t="s">
        <v>50</v>
      </c>
      <c r="T977">
        <f t="shared" si="105"/>
        <v>1485.7160000000001</v>
      </c>
      <c r="U977">
        <f t="shared" si="106"/>
        <v>10</v>
      </c>
      <c r="V977">
        <f t="shared" si="107"/>
        <v>1613.04</v>
      </c>
      <c r="W977">
        <f t="shared" si="108"/>
        <v>161.30399999999986</v>
      </c>
      <c r="X977">
        <f t="shared" si="109"/>
        <v>6</v>
      </c>
      <c r="Y977" cm="1">
        <f t="array" ref="Y977">_xlfn.IFS(H977=0.1,1,H977=0.15,1,H977=0.05,1,H977=0,0)</f>
        <v>1</v>
      </c>
      <c r="Z977">
        <f t="shared" si="110"/>
        <v>12</v>
      </c>
      <c r="AA977">
        <f t="shared" si="111"/>
        <v>2025</v>
      </c>
    </row>
    <row r="978" spans="1:27" x14ac:dyDescent="0.3">
      <c r="A978" s="2">
        <v>45777</v>
      </c>
      <c r="B978" t="s">
        <v>45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68</v>
      </c>
      <c r="J978">
        <v>2818.5</v>
      </c>
      <c r="K978" t="s">
        <v>24</v>
      </c>
      <c r="L978" t="s">
        <v>35</v>
      </c>
      <c r="M978">
        <v>0</v>
      </c>
      <c r="N978" t="s">
        <v>1954</v>
      </c>
      <c r="O978" t="s">
        <v>1955</v>
      </c>
      <c r="P978">
        <v>29.28</v>
      </c>
      <c r="Q978" s="2">
        <v>45777</v>
      </c>
      <c r="R978" s="2">
        <v>45784</v>
      </c>
      <c r="S978" t="s">
        <v>50</v>
      </c>
      <c r="T978">
        <f t="shared" si="105"/>
        <v>2847.78</v>
      </c>
      <c r="U978">
        <f t="shared" si="106"/>
        <v>0</v>
      </c>
      <c r="V978">
        <f t="shared" si="107"/>
        <v>2818.5</v>
      </c>
      <c r="W978">
        <f t="shared" si="108"/>
        <v>0</v>
      </c>
      <c r="X978">
        <f t="shared" si="109"/>
        <v>7</v>
      </c>
      <c r="Y978" cm="1">
        <f t="array" ref="Y978">_xlfn.IFS(H978=0.1,1,H978=0.15,1,H978=0.05,1,H978=0,0)</f>
        <v>0</v>
      </c>
      <c r="Z978">
        <f t="shared" si="110"/>
        <v>0</v>
      </c>
      <c r="AA978">
        <f t="shared" si="111"/>
        <v>2025</v>
      </c>
    </row>
    <row r="979" spans="1:27" x14ac:dyDescent="0.3">
      <c r="A979" s="2">
        <v>45018</v>
      </c>
      <c r="B979" t="s">
        <v>39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68</v>
      </c>
      <c r="J979">
        <v>5110.4295000000002</v>
      </c>
      <c r="K979" t="s">
        <v>58</v>
      </c>
      <c r="L979" t="s">
        <v>35</v>
      </c>
      <c r="M979">
        <v>1</v>
      </c>
      <c r="N979" t="s">
        <v>1956</v>
      </c>
      <c r="O979" t="s">
        <v>1957</v>
      </c>
      <c r="P979">
        <v>24.77</v>
      </c>
      <c r="Q979" s="2">
        <v>45018</v>
      </c>
      <c r="R979" s="2">
        <v>45020</v>
      </c>
      <c r="S979" t="s">
        <v>44</v>
      </c>
      <c r="T979">
        <f t="shared" si="105"/>
        <v>5136.1995000000006</v>
      </c>
      <c r="U979">
        <f t="shared" si="106"/>
        <v>15</v>
      </c>
      <c r="V979">
        <f t="shared" si="107"/>
        <v>6012.27</v>
      </c>
      <c r="W979">
        <f t="shared" si="108"/>
        <v>901.84050000000025</v>
      </c>
      <c r="X979">
        <f t="shared" si="109"/>
        <v>2</v>
      </c>
      <c r="Y979" cm="1">
        <f t="array" ref="Y979">_xlfn.IFS(H979=0.1,1,H979=0.15,1,H979=0.05,1,H979=0,0)</f>
        <v>1</v>
      </c>
      <c r="Z979">
        <f t="shared" si="110"/>
        <v>11</v>
      </c>
      <c r="AA979">
        <f t="shared" si="111"/>
        <v>2023</v>
      </c>
    </row>
    <row r="980" spans="1:27" x14ac:dyDescent="0.3">
      <c r="A980" s="2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68</v>
      </c>
      <c r="J980">
        <v>3119.7240000000002</v>
      </c>
      <c r="K980" t="s">
        <v>65</v>
      </c>
      <c r="L980" t="s">
        <v>35</v>
      </c>
      <c r="M980">
        <v>0</v>
      </c>
      <c r="N980" t="s">
        <v>1958</v>
      </c>
      <c r="O980" t="s">
        <v>622</v>
      </c>
      <c r="P980">
        <v>40.26</v>
      </c>
      <c r="Q980" s="2">
        <v>45530</v>
      </c>
      <c r="R980" s="2">
        <v>45540</v>
      </c>
      <c r="S980" t="s">
        <v>44</v>
      </c>
      <c r="T980">
        <f t="shared" si="105"/>
        <v>3159.9840000000004</v>
      </c>
      <c r="U980">
        <f t="shared" si="106"/>
        <v>5</v>
      </c>
      <c r="V980">
        <f t="shared" si="107"/>
        <v>3283.92</v>
      </c>
      <c r="W980">
        <f t="shared" si="108"/>
        <v>164.19599999999991</v>
      </c>
      <c r="X980">
        <f t="shared" si="109"/>
        <v>10</v>
      </c>
      <c r="Y980" cm="1">
        <f t="array" ref="Y980">_xlfn.IFS(H980=0.1,1,H980=0.15,1,H980=0.05,1,H980=0,0)</f>
        <v>1</v>
      </c>
      <c r="Z980">
        <f t="shared" si="110"/>
        <v>9</v>
      </c>
      <c r="AA980">
        <f t="shared" si="111"/>
        <v>2024</v>
      </c>
    </row>
    <row r="981" spans="1:27" x14ac:dyDescent="0.3">
      <c r="A981" s="2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1959</v>
      </c>
      <c r="O981" t="s">
        <v>1960</v>
      </c>
      <c r="P981">
        <v>28.98</v>
      </c>
      <c r="Q981" s="2">
        <v>45240</v>
      </c>
      <c r="R981" s="2">
        <v>45250</v>
      </c>
      <c r="S981" t="s">
        <v>38</v>
      </c>
      <c r="T981">
        <f t="shared" si="105"/>
        <v>2220.1864999999998</v>
      </c>
      <c r="U981">
        <f t="shared" si="106"/>
        <v>15</v>
      </c>
      <c r="V981">
        <f t="shared" si="107"/>
        <v>2577.89</v>
      </c>
      <c r="W981">
        <f t="shared" si="108"/>
        <v>386.68350000000009</v>
      </c>
      <c r="X981">
        <f t="shared" si="109"/>
        <v>10</v>
      </c>
      <c r="Y981" cm="1">
        <f t="array" ref="Y981">_xlfn.IFS(H981=0.1,1,H981=0.15,1,H981=0.05,1,H981=0,0)</f>
        <v>1</v>
      </c>
      <c r="Z981">
        <f t="shared" si="110"/>
        <v>7</v>
      </c>
      <c r="AA981">
        <f t="shared" si="111"/>
        <v>2023</v>
      </c>
    </row>
    <row r="982" spans="1:27" x14ac:dyDescent="0.3">
      <c r="A982" s="2">
        <v>45684</v>
      </c>
      <c r="B982" t="s">
        <v>45</v>
      </c>
      <c r="C982" t="s">
        <v>132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L982" t="s">
        <v>59</v>
      </c>
      <c r="M982">
        <v>1</v>
      </c>
      <c r="N982" t="s">
        <v>1961</v>
      </c>
      <c r="O982" t="s">
        <v>1962</v>
      </c>
      <c r="P982">
        <v>15.6</v>
      </c>
      <c r="Q982" s="2">
        <v>45684</v>
      </c>
      <c r="R982" s="2">
        <v>45690</v>
      </c>
      <c r="S982" t="s">
        <v>50</v>
      </c>
      <c r="T982">
        <f t="shared" si="105"/>
        <v>10762.2</v>
      </c>
      <c r="U982">
        <f t="shared" si="106"/>
        <v>0</v>
      </c>
      <c r="V982">
        <f t="shared" si="107"/>
        <v>10745.599999999999</v>
      </c>
      <c r="W982">
        <f t="shared" si="108"/>
        <v>0</v>
      </c>
      <c r="X982">
        <f t="shared" si="109"/>
        <v>6</v>
      </c>
      <c r="Y982" cm="1">
        <f t="array" ref="Y982">_xlfn.IFS(H982=0.1,1,H982=0.15,1,H982=0.05,1,H982=0,0)</f>
        <v>0</v>
      </c>
      <c r="Z982">
        <f t="shared" si="110"/>
        <v>0</v>
      </c>
      <c r="AA982">
        <f t="shared" si="111"/>
        <v>2025</v>
      </c>
    </row>
    <row r="983" spans="1:27" x14ac:dyDescent="0.3">
      <c r="A983" s="2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1963</v>
      </c>
      <c r="O983" t="s">
        <v>1964</v>
      </c>
      <c r="P983">
        <v>46.47</v>
      </c>
      <c r="Q983" s="2">
        <v>45408</v>
      </c>
      <c r="R983" s="2">
        <v>45412</v>
      </c>
      <c r="S983" t="s">
        <v>38</v>
      </c>
      <c r="T983">
        <f t="shared" si="105"/>
        <v>356.74</v>
      </c>
      <c r="U983">
        <f t="shared" si="106"/>
        <v>0</v>
      </c>
      <c r="V983">
        <f t="shared" si="107"/>
        <v>309.27</v>
      </c>
      <c r="W983">
        <f t="shared" si="108"/>
        <v>0</v>
      </c>
      <c r="X983">
        <f t="shared" si="109"/>
        <v>4</v>
      </c>
      <c r="Y983" cm="1">
        <f t="array" ref="Y983">_xlfn.IFS(H983=0.1,1,H983=0.15,1,H983=0.05,1,H983=0,0)</f>
        <v>0</v>
      </c>
      <c r="Z983">
        <f t="shared" si="110"/>
        <v>0</v>
      </c>
      <c r="AA983">
        <f t="shared" si="111"/>
        <v>2024</v>
      </c>
    </row>
    <row r="984" spans="1:27" x14ac:dyDescent="0.3">
      <c r="A984" s="2">
        <v>45257</v>
      </c>
      <c r="B984" t="s">
        <v>19</v>
      </c>
      <c r="C984" t="s">
        <v>81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L984" t="s">
        <v>59</v>
      </c>
      <c r="M984">
        <v>0</v>
      </c>
      <c r="N984" t="s">
        <v>1965</v>
      </c>
      <c r="O984" t="s">
        <v>1966</v>
      </c>
      <c r="P984">
        <v>48.84</v>
      </c>
      <c r="Q984" s="2">
        <v>45257</v>
      </c>
      <c r="R984" s="2">
        <v>45261</v>
      </c>
      <c r="S984" t="s">
        <v>28</v>
      </c>
      <c r="T984">
        <f t="shared" si="105"/>
        <v>926.88</v>
      </c>
      <c r="U984">
        <f t="shared" si="106"/>
        <v>0</v>
      </c>
      <c r="V984">
        <f t="shared" si="107"/>
        <v>878.04</v>
      </c>
      <c r="W984">
        <f t="shared" si="108"/>
        <v>0</v>
      </c>
      <c r="X984">
        <f t="shared" si="109"/>
        <v>4</v>
      </c>
      <c r="Y984" cm="1">
        <f t="array" ref="Y984">_xlfn.IFS(H984=0.1,1,H984=0.15,1,H984=0.05,1,H984=0,0)</f>
        <v>0</v>
      </c>
      <c r="Z984">
        <f t="shared" si="110"/>
        <v>0</v>
      </c>
      <c r="AA984">
        <f t="shared" si="111"/>
        <v>2023</v>
      </c>
    </row>
    <row r="985" spans="1:27" x14ac:dyDescent="0.3">
      <c r="A985" s="2">
        <v>45015</v>
      </c>
      <c r="B985" t="s">
        <v>45</v>
      </c>
      <c r="C985" t="s">
        <v>81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65</v>
      </c>
      <c r="L985" t="s">
        <v>41</v>
      </c>
      <c r="M985">
        <v>1</v>
      </c>
      <c r="N985" t="s">
        <v>1967</v>
      </c>
      <c r="O985" t="s">
        <v>1968</v>
      </c>
      <c r="P985">
        <v>36.56</v>
      </c>
      <c r="Q985" s="2">
        <v>45015</v>
      </c>
      <c r="R985" s="2">
        <v>45022</v>
      </c>
      <c r="S985" t="s">
        <v>50</v>
      </c>
      <c r="T985">
        <f t="shared" si="105"/>
        <v>2916.9349999999999</v>
      </c>
      <c r="U985">
        <f t="shared" si="106"/>
        <v>15</v>
      </c>
      <c r="V985">
        <f t="shared" si="107"/>
        <v>3387.5</v>
      </c>
      <c r="W985">
        <f t="shared" si="108"/>
        <v>508.125</v>
      </c>
      <c r="X985">
        <f t="shared" si="109"/>
        <v>7</v>
      </c>
      <c r="Y985" cm="1">
        <f t="array" ref="Y985">_xlfn.IFS(H985=0.1,1,H985=0.15,1,H985=0.05,1,H985=0,0)</f>
        <v>1</v>
      </c>
      <c r="Z985">
        <f t="shared" si="110"/>
        <v>10</v>
      </c>
      <c r="AA985">
        <f t="shared" si="111"/>
        <v>2023</v>
      </c>
    </row>
    <row r="986" spans="1:27" x14ac:dyDescent="0.3">
      <c r="A986" s="2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68</v>
      </c>
      <c r="J986">
        <v>478.08</v>
      </c>
      <c r="K986" t="s">
        <v>62</v>
      </c>
      <c r="L986" t="s">
        <v>35</v>
      </c>
      <c r="M986">
        <v>1</v>
      </c>
      <c r="N986" t="s">
        <v>1969</v>
      </c>
      <c r="O986" t="s">
        <v>1970</v>
      </c>
      <c r="P986">
        <v>43.84</v>
      </c>
      <c r="Q986" s="2">
        <v>45355</v>
      </c>
      <c r="R986" s="2">
        <v>45362</v>
      </c>
      <c r="S986" t="s">
        <v>44</v>
      </c>
      <c r="T986">
        <f t="shared" si="105"/>
        <v>522.91999999999996</v>
      </c>
      <c r="U986">
        <f t="shared" si="106"/>
        <v>0</v>
      </c>
      <c r="V986">
        <f t="shared" si="107"/>
        <v>478.08</v>
      </c>
      <c r="W986">
        <f t="shared" si="108"/>
        <v>0</v>
      </c>
      <c r="X986">
        <f t="shared" si="109"/>
        <v>7</v>
      </c>
      <c r="Y986" cm="1">
        <f t="array" ref="Y986">_xlfn.IFS(H986=0.1,1,H986=0.15,1,H986=0.05,1,H986=0,0)</f>
        <v>0</v>
      </c>
      <c r="Z986">
        <f t="shared" si="110"/>
        <v>0</v>
      </c>
      <c r="AA986">
        <f t="shared" si="111"/>
        <v>2024</v>
      </c>
    </row>
    <row r="987" spans="1:27" x14ac:dyDescent="0.3">
      <c r="A987" s="2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68</v>
      </c>
      <c r="J987">
        <v>4566.7439999999997</v>
      </c>
      <c r="K987" t="s">
        <v>65</v>
      </c>
      <c r="L987" t="s">
        <v>41</v>
      </c>
      <c r="M987">
        <v>0</v>
      </c>
      <c r="N987" t="s">
        <v>1971</v>
      </c>
      <c r="O987" t="s">
        <v>1972</v>
      </c>
      <c r="P987">
        <v>36.729999999999997</v>
      </c>
      <c r="Q987" s="2">
        <v>45118</v>
      </c>
      <c r="R987" s="2">
        <v>45122</v>
      </c>
      <c r="S987" t="s">
        <v>38</v>
      </c>
      <c r="T987">
        <f t="shared" si="105"/>
        <v>4603.4739999999993</v>
      </c>
      <c r="U987">
        <f t="shared" si="106"/>
        <v>10</v>
      </c>
      <c r="V987">
        <f t="shared" si="107"/>
        <v>5074.16</v>
      </c>
      <c r="W987">
        <f t="shared" si="108"/>
        <v>507.41600000000017</v>
      </c>
      <c r="X987">
        <f t="shared" si="109"/>
        <v>4</v>
      </c>
      <c r="Y987" cm="1">
        <f t="array" ref="Y987">_xlfn.IFS(H987=0.1,1,H987=0.15,1,H987=0.05,1,H987=0,0)</f>
        <v>1</v>
      </c>
      <c r="Z987">
        <f t="shared" si="110"/>
        <v>14</v>
      </c>
      <c r="AA987">
        <f t="shared" si="111"/>
        <v>2023</v>
      </c>
    </row>
    <row r="988" spans="1:27" x14ac:dyDescent="0.3">
      <c r="A988" s="2">
        <v>45555</v>
      </c>
      <c r="B988" t="s">
        <v>71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1973</v>
      </c>
      <c r="O988" t="s">
        <v>1974</v>
      </c>
      <c r="P988">
        <v>14.67</v>
      </c>
      <c r="Q988" s="2">
        <v>45555</v>
      </c>
      <c r="R988" s="2">
        <v>45564</v>
      </c>
      <c r="S988" t="s">
        <v>74</v>
      </c>
      <c r="T988">
        <f t="shared" si="105"/>
        <v>3321.4500000000003</v>
      </c>
      <c r="U988">
        <f t="shared" si="106"/>
        <v>0</v>
      </c>
      <c r="V988">
        <f t="shared" si="107"/>
        <v>3306.7799999999997</v>
      </c>
      <c r="W988">
        <f t="shared" si="108"/>
        <v>0</v>
      </c>
      <c r="X988">
        <f t="shared" si="109"/>
        <v>9</v>
      </c>
      <c r="Y988" cm="1">
        <f t="array" ref="Y988">_xlfn.IFS(H988=0.1,1,H988=0.15,1,H988=0.05,1,H988=0,0)</f>
        <v>0</v>
      </c>
      <c r="Z988">
        <f t="shared" si="110"/>
        <v>0</v>
      </c>
      <c r="AA988">
        <f t="shared" si="111"/>
        <v>2024</v>
      </c>
    </row>
    <row r="989" spans="1:27" x14ac:dyDescent="0.3">
      <c r="A989" s="2">
        <v>45706</v>
      </c>
      <c r="B989" t="s">
        <v>71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1975</v>
      </c>
      <c r="O989" t="s">
        <v>1976</v>
      </c>
      <c r="P989">
        <v>11.11</v>
      </c>
      <c r="Q989" s="2">
        <v>45706</v>
      </c>
      <c r="R989" s="2">
        <v>45712</v>
      </c>
      <c r="S989" t="s">
        <v>74</v>
      </c>
      <c r="T989">
        <f t="shared" si="105"/>
        <v>84.963999999999999</v>
      </c>
      <c r="U989">
        <f t="shared" si="106"/>
        <v>10</v>
      </c>
      <c r="V989">
        <f t="shared" si="107"/>
        <v>82.06</v>
      </c>
      <c r="W989">
        <f t="shared" si="108"/>
        <v>8.2060000000000031</v>
      </c>
      <c r="X989">
        <f t="shared" si="109"/>
        <v>6</v>
      </c>
      <c r="Y989" cm="1">
        <f t="array" ref="Y989">_xlfn.IFS(H989=0.1,1,H989=0.15,1,H989=0.05,1,H989=0,0)</f>
        <v>1</v>
      </c>
      <c r="Z989">
        <f t="shared" si="110"/>
        <v>1</v>
      </c>
      <c r="AA989">
        <f t="shared" si="111"/>
        <v>2025</v>
      </c>
    </row>
    <row r="990" spans="1:27" x14ac:dyDescent="0.3">
      <c r="A990" s="2">
        <v>45489</v>
      </c>
      <c r="B990" t="s">
        <v>19</v>
      </c>
      <c r="C990" t="s">
        <v>81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L990" t="s">
        <v>59</v>
      </c>
      <c r="M990">
        <v>0</v>
      </c>
      <c r="N990" t="s">
        <v>1977</v>
      </c>
      <c r="O990" t="s">
        <v>1978</v>
      </c>
      <c r="P990">
        <v>42.72</v>
      </c>
      <c r="Q990" s="2">
        <v>45489</v>
      </c>
      <c r="R990" s="2">
        <v>45493</v>
      </c>
      <c r="S990" t="s">
        <v>28</v>
      </c>
      <c r="T990">
        <f t="shared" si="105"/>
        <v>3008.5569999999998</v>
      </c>
      <c r="U990">
        <f t="shared" si="106"/>
        <v>15</v>
      </c>
      <c r="V990">
        <f t="shared" si="107"/>
        <v>3489.22</v>
      </c>
      <c r="W990">
        <f t="shared" si="108"/>
        <v>523.38299999999981</v>
      </c>
      <c r="X990">
        <f t="shared" si="109"/>
        <v>4</v>
      </c>
      <c r="Y990" cm="1">
        <f t="array" ref="Y990">_xlfn.IFS(H990=0.1,1,H990=0.15,1,H990=0.05,1,H990=0,0)</f>
        <v>1</v>
      </c>
      <c r="Z990">
        <f t="shared" si="110"/>
        <v>7</v>
      </c>
      <c r="AA990">
        <f t="shared" si="111"/>
        <v>2024</v>
      </c>
    </row>
    <row r="991" spans="1:27" x14ac:dyDescent="0.3">
      <c r="A991" s="2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65</v>
      </c>
      <c r="L991" t="s">
        <v>25</v>
      </c>
      <c r="M991">
        <v>0</v>
      </c>
      <c r="N991" t="s">
        <v>1979</v>
      </c>
      <c r="O991" t="s">
        <v>1980</v>
      </c>
      <c r="P991">
        <v>49.64</v>
      </c>
      <c r="Q991" s="2">
        <v>45253</v>
      </c>
      <c r="R991" s="2">
        <v>45255</v>
      </c>
      <c r="S991" t="s">
        <v>28</v>
      </c>
      <c r="T991">
        <f t="shared" si="105"/>
        <v>505.77799999999996</v>
      </c>
      <c r="U991">
        <f t="shared" si="106"/>
        <v>10</v>
      </c>
      <c r="V991">
        <f t="shared" si="107"/>
        <v>506.82</v>
      </c>
      <c r="W991">
        <f t="shared" si="108"/>
        <v>50.682000000000016</v>
      </c>
      <c r="X991">
        <f t="shared" si="109"/>
        <v>2</v>
      </c>
      <c r="Y991" cm="1">
        <f t="array" ref="Y991">_xlfn.IFS(H991=0.1,1,H991=0.15,1,H991=0.05,1,H991=0,0)</f>
        <v>1</v>
      </c>
      <c r="Z991">
        <f t="shared" si="110"/>
        <v>2</v>
      </c>
      <c r="AA991">
        <f t="shared" si="111"/>
        <v>2023</v>
      </c>
    </row>
    <row r="992" spans="1:27" x14ac:dyDescent="0.3">
      <c r="A992" s="2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62</v>
      </c>
      <c r="L992" t="s">
        <v>25</v>
      </c>
      <c r="M992">
        <v>0</v>
      </c>
      <c r="N992" t="s">
        <v>1981</v>
      </c>
      <c r="O992" t="s">
        <v>1982</v>
      </c>
      <c r="P992">
        <v>7.33</v>
      </c>
      <c r="Q992" s="2">
        <v>45176</v>
      </c>
      <c r="R992" s="2">
        <v>45178</v>
      </c>
      <c r="S992" t="s">
        <v>38</v>
      </c>
      <c r="T992">
        <f t="shared" si="105"/>
        <v>2081.9380000000001</v>
      </c>
      <c r="U992">
        <f t="shared" si="106"/>
        <v>10</v>
      </c>
      <c r="V992">
        <f t="shared" si="107"/>
        <v>2305.12</v>
      </c>
      <c r="W992">
        <f t="shared" si="108"/>
        <v>230.51199999999972</v>
      </c>
      <c r="X992">
        <f t="shared" si="109"/>
        <v>2</v>
      </c>
      <c r="Y992" cm="1">
        <f t="array" ref="Y992">_xlfn.IFS(H992=0.1,1,H992=0.15,1,H992=0.05,1,H992=0,0)</f>
        <v>1</v>
      </c>
      <c r="Z992">
        <f t="shared" si="110"/>
        <v>16</v>
      </c>
      <c r="AA992">
        <f t="shared" si="111"/>
        <v>2023</v>
      </c>
    </row>
    <row r="993" spans="1:27" x14ac:dyDescent="0.3">
      <c r="A993" s="2">
        <v>45323</v>
      </c>
      <c r="B993" t="s">
        <v>71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65</v>
      </c>
      <c r="L993" t="s">
        <v>59</v>
      </c>
      <c r="M993">
        <v>1</v>
      </c>
      <c r="N993" t="s">
        <v>1983</v>
      </c>
      <c r="O993" t="s">
        <v>1984</v>
      </c>
      <c r="P993">
        <v>48.42</v>
      </c>
      <c r="Q993" s="2">
        <v>45323</v>
      </c>
      <c r="R993" s="2">
        <v>45326</v>
      </c>
      <c r="S993" t="s">
        <v>74</v>
      </c>
      <c r="T993">
        <f t="shared" si="105"/>
        <v>1929.6115</v>
      </c>
      <c r="U993">
        <f t="shared" si="106"/>
        <v>15</v>
      </c>
      <c r="V993">
        <f t="shared" si="107"/>
        <v>2211.9900000000002</v>
      </c>
      <c r="W993">
        <f t="shared" si="108"/>
        <v>331.79850000000033</v>
      </c>
      <c r="X993">
        <f t="shared" si="109"/>
        <v>3</v>
      </c>
      <c r="Y993" cm="1">
        <f t="array" ref="Y993">_xlfn.IFS(H993=0.1,1,H993=0.15,1,H993=0.05,1,H993=0,0)</f>
        <v>1</v>
      </c>
      <c r="Z993">
        <f t="shared" si="110"/>
        <v>11</v>
      </c>
      <c r="AA993">
        <f t="shared" si="111"/>
        <v>2024</v>
      </c>
    </row>
    <row r="994" spans="1:27" x14ac:dyDescent="0.3">
      <c r="A994" s="2">
        <v>45785</v>
      </c>
      <c r="B994" t="s">
        <v>29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5795.9550000000008</v>
      </c>
      <c r="K994" t="s">
        <v>58</v>
      </c>
      <c r="L994" t="s">
        <v>41</v>
      </c>
      <c r="M994">
        <v>0</v>
      </c>
      <c r="N994" t="s">
        <v>1985</v>
      </c>
      <c r="O994" t="s">
        <v>1986</v>
      </c>
      <c r="P994">
        <v>36.590000000000003</v>
      </c>
      <c r="Q994" s="2">
        <v>45785</v>
      </c>
      <c r="R994" s="2">
        <v>45789</v>
      </c>
      <c r="S994" t="s">
        <v>38</v>
      </c>
      <c r="T994">
        <f t="shared" si="105"/>
        <v>5832.545000000001</v>
      </c>
      <c r="U994">
        <f t="shared" si="106"/>
        <v>10</v>
      </c>
      <c r="V994">
        <f t="shared" si="107"/>
        <v>6439.9500000000007</v>
      </c>
      <c r="W994">
        <f t="shared" si="108"/>
        <v>643.99499999999989</v>
      </c>
      <c r="X994">
        <f t="shared" si="109"/>
        <v>4</v>
      </c>
      <c r="Y994" cm="1">
        <f t="array" ref="Y994">_xlfn.IFS(H994=0.1,1,H994=0.15,1,H994=0.05,1,H994=0,0)</f>
        <v>1</v>
      </c>
      <c r="Z994">
        <f t="shared" si="110"/>
        <v>11</v>
      </c>
      <c r="AA994">
        <f t="shared" si="111"/>
        <v>2025</v>
      </c>
    </row>
    <row r="995" spans="1:27" x14ac:dyDescent="0.3">
      <c r="A995" s="2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1987</v>
      </c>
      <c r="O995" t="s">
        <v>1246</v>
      </c>
      <c r="P995">
        <v>28.5</v>
      </c>
      <c r="Q995" s="2">
        <v>45674</v>
      </c>
      <c r="R995" s="2">
        <v>45681</v>
      </c>
      <c r="S995" t="s">
        <v>44</v>
      </c>
      <c r="T995">
        <f t="shared" si="105"/>
        <v>1374.81</v>
      </c>
      <c r="U995">
        <f t="shared" si="106"/>
        <v>0</v>
      </c>
      <c r="V995">
        <f t="shared" si="107"/>
        <v>1346.31</v>
      </c>
      <c r="W995">
        <f t="shared" si="108"/>
        <v>0</v>
      </c>
      <c r="X995">
        <f t="shared" si="109"/>
        <v>7</v>
      </c>
      <c r="Y995" cm="1">
        <f t="array" ref="Y995">_xlfn.IFS(H995=0.1,1,H995=0.15,1,H995=0.05,1,H995=0,0)</f>
        <v>0</v>
      </c>
      <c r="Z995">
        <f t="shared" si="110"/>
        <v>0</v>
      </c>
      <c r="AA995">
        <f t="shared" si="111"/>
        <v>2025</v>
      </c>
    </row>
    <row r="996" spans="1:27" x14ac:dyDescent="0.3">
      <c r="A996" s="2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1988</v>
      </c>
      <c r="O996" t="s">
        <v>1989</v>
      </c>
      <c r="P996">
        <v>30.78</v>
      </c>
      <c r="Q996" s="2">
        <v>45171</v>
      </c>
      <c r="R996" s="2">
        <v>45177</v>
      </c>
      <c r="S996" t="s">
        <v>28</v>
      </c>
      <c r="T996">
        <f t="shared" si="105"/>
        <v>1690.6499999999999</v>
      </c>
      <c r="U996">
        <f t="shared" si="106"/>
        <v>0</v>
      </c>
      <c r="V996">
        <f t="shared" si="107"/>
        <v>1659.8700000000001</v>
      </c>
      <c r="W996">
        <f t="shared" si="108"/>
        <v>0</v>
      </c>
      <c r="X996">
        <f t="shared" si="109"/>
        <v>6</v>
      </c>
      <c r="Y996" cm="1">
        <f t="array" ref="Y996">_xlfn.IFS(H996=0.1,1,H996=0.15,1,H996=0.05,1,H996=0,0)</f>
        <v>0</v>
      </c>
      <c r="Z996">
        <f t="shared" si="110"/>
        <v>0</v>
      </c>
      <c r="AA996">
        <f t="shared" si="111"/>
        <v>2023</v>
      </c>
    </row>
    <row r="997" spans="1:27" x14ac:dyDescent="0.3">
      <c r="A997" s="2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68</v>
      </c>
      <c r="J997">
        <v>9505.6</v>
      </c>
      <c r="K997" t="s">
        <v>34</v>
      </c>
      <c r="L997" t="s">
        <v>25</v>
      </c>
      <c r="M997">
        <v>0</v>
      </c>
      <c r="N997" t="s">
        <v>1990</v>
      </c>
      <c r="O997" t="s">
        <v>1991</v>
      </c>
      <c r="P997">
        <v>18.2</v>
      </c>
      <c r="Q997" s="2">
        <v>45100</v>
      </c>
      <c r="R997" s="2">
        <v>45108</v>
      </c>
      <c r="S997" t="s">
        <v>50</v>
      </c>
      <c r="T997">
        <f t="shared" si="105"/>
        <v>9523.8000000000011</v>
      </c>
      <c r="U997">
        <f t="shared" si="106"/>
        <v>0</v>
      </c>
      <c r="V997">
        <f t="shared" si="107"/>
        <v>9505.6</v>
      </c>
      <c r="W997">
        <f t="shared" si="108"/>
        <v>0</v>
      </c>
      <c r="X997">
        <f t="shared" si="109"/>
        <v>8</v>
      </c>
      <c r="Y997" cm="1">
        <f t="array" ref="Y997">_xlfn.IFS(H997=0.1,1,H997=0.15,1,H997=0.05,1,H997=0,0)</f>
        <v>0</v>
      </c>
      <c r="Z997">
        <f t="shared" si="110"/>
        <v>0</v>
      </c>
      <c r="AA997">
        <f t="shared" si="111"/>
        <v>2023</v>
      </c>
    </row>
    <row r="998" spans="1:27" x14ac:dyDescent="0.3">
      <c r="A998" s="2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68</v>
      </c>
      <c r="J998">
        <v>8243.3970000000008</v>
      </c>
      <c r="K998" t="s">
        <v>58</v>
      </c>
      <c r="L998" t="s">
        <v>59</v>
      </c>
      <c r="M998">
        <v>0</v>
      </c>
      <c r="N998" t="s">
        <v>1992</v>
      </c>
      <c r="O998" t="s">
        <v>1993</v>
      </c>
      <c r="P998">
        <v>25.96</v>
      </c>
      <c r="Q998" s="2">
        <v>45311</v>
      </c>
      <c r="R998" s="2">
        <v>45317</v>
      </c>
      <c r="S998" t="s">
        <v>28</v>
      </c>
      <c r="T998">
        <f t="shared" si="105"/>
        <v>8269.357</v>
      </c>
      <c r="U998">
        <f t="shared" si="106"/>
        <v>10</v>
      </c>
      <c r="V998">
        <f t="shared" si="107"/>
        <v>9159.33</v>
      </c>
      <c r="W998">
        <f t="shared" si="108"/>
        <v>915.93299999999908</v>
      </c>
      <c r="X998">
        <f t="shared" si="109"/>
        <v>6</v>
      </c>
      <c r="Y998" cm="1">
        <f t="array" ref="Y998">_xlfn.IFS(H998=0.1,1,H998=0.15,1,H998=0.05,1,H998=0,0)</f>
        <v>1</v>
      </c>
      <c r="Z998">
        <f t="shared" si="110"/>
        <v>19</v>
      </c>
      <c r="AA998">
        <f t="shared" si="111"/>
        <v>2024</v>
      </c>
    </row>
    <row r="999" spans="1:27" x14ac:dyDescent="0.3">
      <c r="A999" s="2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1994</v>
      </c>
      <c r="O999" t="s">
        <v>276</v>
      </c>
      <c r="P999">
        <v>44.77</v>
      </c>
      <c r="Q999" s="2">
        <v>45469</v>
      </c>
      <c r="R999" s="2">
        <v>45479</v>
      </c>
      <c r="S999" t="s">
        <v>28</v>
      </c>
      <c r="T999">
        <f t="shared" si="105"/>
        <v>1478.32</v>
      </c>
      <c r="U999">
        <f t="shared" si="106"/>
        <v>5</v>
      </c>
      <c r="V999">
        <f t="shared" si="107"/>
        <v>1509</v>
      </c>
      <c r="W999">
        <f t="shared" si="108"/>
        <v>75.450000000000045</v>
      </c>
      <c r="X999">
        <f t="shared" si="109"/>
        <v>10</v>
      </c>
      <c r="Y999" cm="1">
        <f t="array" ref="Y999">_xlfn.IFS(H999=0.1,1,H999=0.15,1,H999=0.05,1,H999=0,0)</f>
        <v>1</v>
      </c>
      <c r="Z999">
        <f t="shared" si="110"/>
        <v>20</v>
      </c>
      <c r="AA999">
        <f t="shared" si="111"/>
        <v>2024</v>
      </c>
    </row>
    <row r="1000" spans="1:27" x14ac:dyDescent="0.3">
      <c r="A1000" s="2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889.59600000000012</v>
      </c>
      <c r="K1000" t="s">
        <v>34</v>
      </c>
      <c r="L1000" t="s">
        <v>25</v>
      </c>
      <c r="M1000">
        <v>0</v>
      </c>
      <c r="N1000" t="s">
        <v>1995</v>
      </c>
      <c r="O1000" t="s">
        <v>1996</v>
      </c>
      <c r="P1000">
        <v>13.45</v>
      </c>
      <c r="Q1000" s="2">
        <v>45638</v>
      </c>
      <c r="R1000" s="2">
        <v>45643</v>
      </c>
      <c r="S1000" t="s">
        <v>50</v>
      </c>
      <c r="T1000">
        <f t="shared" si="105"/>
        <v>903.04600000000016</v>
      </c>
      <c r="U1000">
        <f t="shared" si="106"/>
        <v>10</v>
      </c>
      <c r="V1000">
        <f t="shared" si="107"/>
        <v>988.44</v>
      </c>
      <c r="W1000">
        <f t="shared" si="108"/>
        <v>98.843999999999937</v>
      </c>
      <c r="X1000">
        <f t="shared" si="109"/>
        <v>5</v>
      </c>
      <c r="Y1000" cm="1">
        <f t="array" ref="Y1000">_xlfn.IFS(H1000=0.1,1,H1000=0.15,1,H1000=0.05,1,H1000=0,0)</f>
        <v>1</v>
      </c>
      <c r="Z1000">
        <f t="shared" si="110"/>
        <v>2</v>
      </c>
      <c r="AA1000">
        <f t="shared" si="111"/>
        <v>2024</v>
      </c>
    </row>
    <row r="1001" spans="1:27" x14ac:dyDescent="0.3">
      <c r="A1001" s="2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1997</v>
      </c>
      <c r="O1001" t="s">
        <v>1998</v>
      </c>
      <c r="P1001">
        <v>18.21</v>
      </c>
      <c r="Q1001" s="2">
        <v>45343</v>
      </c>
      <c r="R1001" s="2">
        <v>45352</v>
      </c>
      <c r="S1001" t="s">
        <v>28</v>
      </c>
      <c r="T1001">
        <f t="shared" si="105"/>
        <v>1625.895</v>
      </c>
      <c r="U1001">
        <f t="shared" si="106"/>
        <v>5</v>
      </c>
      <c r="V1001">
        <f t="shared" si="107"/>
        <v>1692.3</v>
      </c>
      <c r="W1001">
        <f t="shared" si="108"/>
        <v>84.615000000000009</v>
      </c>
      <c r="X1001">
        <f t="shared" si="109"/>
        <v>9</v>
      </c>
      <c r="Y1001" cm="1">
        <f t="array" ref="Y1001">_xlfn.IFS(H1001=0.1,1,H1001=0.15,1,H1001=0.05,1,H1001=0,0)</f>
        <v>1</v>
      </c>
      <c r="Z1001">
        <f t="shared" si="110"/>
        <v>15</v>
      </c>
      <c r="AA1001">
        <f t="shared" si="111"/>
        <v>2024</v>
      </c>
    </row>
    <row r="1002" spans="1:27" x14ac:dyDescent="0.3">
      <c r="A1002" s="2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62</v>
      </c>
      <c r="L1002" t="s">
        <v>41</v>
      </c>
      <c r="M1002">
        <v>0</v>
      </c>
      <c r="N1002" t="s">
        <v>1999</v>
      </c>
      <c r="O1002" t="s">
        <v>2000</v>
      </c>
      <c r="P1002">
        <v>29.06</v>
      </c>
      <c r="Q1002" s="2">
        <v>45125</v>
      </c>
      <c r="R1002" s="2">
        <v>45132</v>
      </c>
      <c r="S1002" t="s">
        <v>28</v>
      </c>
      <c r="T1002">
        <f t="shared" si="105"/>
        <v>393.74</v>
      </c>
      <c r="U1002">
        <f t="shared" si="106"/>
        <v>0</v>
      </c>
      <c r="V1002">
        <f t="shared" si="107"/>
        <v>364.68</v>
      </c>
      <c r="W1002">
        <f t="shared" si="108"/>
        <v>0</v>
      </c>
      <c r="X1002">
        <f t="shared" si="109"/>
        <v>7</v>
      </c>
      <c r="Y1002" cm="1">
        <f t="array" ref="Y1002">_xlfn.IFS(H1002=0.1,1,H1002=0.15,1,H1002=0.05,1,H1002=0,0)</f>
        <v>0</v>
      </c>
      <c r="Z1002">
        <f t="shared" si="110"/>
        <v>0</v>
      </c>
      <c r="AA1002">
        <f t="shared" si="111"/>
        <v>2023</v>
      </c>
    </row>
    <row r="1003" spans="1:27" x14ac:dyDescent="0.3">
      <c r="A1003" s="2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2001</v>
      </c>
      <c r="O1003" t="s">
        <v>2002</v>
      </c>
      <c r="P1003">
        <v>34.159999999999997</v>
      </c>
      <c r="Q1003" s="2">
        <v>45567</v>
      </c>
      <c r="R1003" s="2">
        <v>45571</v>
      </c>
      <c r="S1003" t="s">
        <v>44</v>
      </c>
      <c r="T1003">
        <f t="shared" si="105"/>
        <v>5625.44</v>
      </c>
      <c r="U1003">
        <f t="shared" si="106"/>
        <v>0</v>
      </c>
      <c r="V1003">
        <f t="shared" si="107"/>
        <v>5591.28</v>
      </c>
      <c r="W1003">
        <f t="shared" si="108"/>
        <v>0</v>
      </c>
      <c r="X1003">
        <f t="shared" si="109"/>
        <v>4</v>
      </c>
      <c r="Y1003" cm="1">
        <f t="array" ref="Y1003">_xlfn.IFS(H1003=0.1,1,H1003=0.15,1,H1003=0.05,1,H1003=0,0)</f>
        <v>0</v>
      </c>
      <c r="Z1003">
        <f t="shared" si="110"/>
        <v>0</v>
      </c>
      <c r="AA1003">
        <f t="shared" si="111"/>
        <v>2024</v>
      </c>
    </row>
    <row r="1004" spans="1:27" x14ac:dyDescent="0.3">
      <c r="A1004" s="2">
        <v>45627</v>
      </c>
      <c r="B1004" t="s">
        <v>71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2003</v>
      </c>
      <c r="O1004" t="s">
        <v>2004</v>
      </c>
      <c r="P1004">
        <v>17.739999999999998</v>
      </c>
      <c r="Q1004" s="2">
        <v>45627</v>
      </c>
      <c r="R1004" s="2">
        <v>45630</v>
      </c>
      <c r="S1004" t="s">
        <v>74</v>
      </c>
      <c r="T1004">
        <f t="shared" si="105"/>
        <v>1933.3</v>
      </c>
      <c r="U1004">
        <f t="shared" si="106"/>
        <v>15</v>
      </c>
      <c r="V1004">
        <f t="shared" si="107"/>
        <v>2253.6000000000004</v>
      </c>
      <c r="W1004">
        <f t="shared" si="108"/>
        <v>338.04000000000042</v>
      </c>
      <c r="X1004">
        <f t="shared" si="109"/>
        <v>3</v>
      </c>
      <c r="Y1004" cm="1">
        <f t="array" ref="Y1004">_xlfn.IFS(H1004=0.1,1,H1004=0.15,1,H1004=0.05,1,H1004=0,0)</f>
        <v>1</v>
      </c>
      <c r="Z1004">
        <f t="shared" si="110"/>
        <v>12</v>
      </c>
      <c r="AA1004">
        <f t="shared" si="111"/>
        <v>2024</v>
      </c>
    </row>
    <row r="1005" spans="1:27" x14ac:dyDescent="0.3">
      <c r="A1005" s="2">
        <v>45538</v>
      </c>
      <c r="B1005" t="s">
        <v>19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L1005" t="s">
        <v>59</v>
      </c>
      <c r="M1005">
        <v>0</v>
      </c>
      <c r="N1005" t="s">
        <v>2005</v>
      </c>
      <c r="O1005" t="s">
        <v>2006</v>
      </c>
      <c r="P1005">
        <v>5.19</v>
      </c>
      <c r="Q1005" s="2">
        <v>45538</v>
      </c>
      <c r="R1005" s="2">
        <v>45547</v>
      </c>
      <c r="S1005" t="s">
        <v>28</v>
      </c>
      <c r="T1005">
        <f t="shared" si="105"/>
        <v>482.29500000000002</v>
      </c>
      <c r="U1005">
        <f t="shared" si="106"/>
        <v>15</v>
      </c>
      <c r="V1005">
        <f t="shared" si="107"/>
        <v>561.29999999999995</v>
      </c>
      <c r="W1005">
        <f t="shared" si="108"/>
        <v>84.194999999999936</v>
      </c>
      <c r="X1005">
        <f t="shared" si="109"/>
        <v>9</v>
      </c>
      <c r="Y1005" cm="1">
        <f t="array" ref="Y1005">_xlfn.IFS(H1005=0.1,1,H1005=0.15,1,H1005=0.05,1,H1005=0,0)</f>
        <v>1</v>
      </c>
      <c r="Z1005">
        <f t="shared" si="110"/>
        <v>1</v>
      </c>
      <c r="AA1005">
        <f t="shared" si="111"/>
        <v>2024</v>
      </c>
    </row>
    <row r="1006" spans="1:27" x14ac:dyDescent="0.3">
      <c r="A1006" s="2">
        <v>45710</v>
      </c>
      <c r="B1006" t="s">
        <v>71</v>
      </c>
      <c r="C1006" t="s">
        <v>132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68</v>
      </c>
      <c r="J1006">
        <v>1060.6469999999999</v>
      </c>
      <c r="K1006" t="s">
        <v>24</v>
      </c>
      <c r="L1006" t="s">
        <v>25</v>
      </c>
      <c r="M1006">
        <v>0</v>
      </c>
      <c r="N1006" t="s">
        <v>2007</v>
      </c>
      <c r="O1006" t="s">
        <v>2008</v>
      </c>
      <c r="P1006">
        <v>44.91</v>
      </c>
      <c r="Q1006" s="2">
        <v>45710</v>
      </c>
      <c r="R1006" s="2">
        <v>45717</v>
      </c>
      <c r="S1006" t="s">
        <v>74</v>
      </c>
      <c r="T1006">
        <f t="shared" si="105"/>
        <v>1105.557</v>
      </c>
      <c r="U1006">
        <f t="shared" si="106"/>
        <v>15</v>
      </c>
      <c r="V1006">
        <f t="shared" si="107"/>
        <v>1247.82</v>
      </c>
      <c r="W1006">
        <f t="shared" si="108"/>
        <v>187.173</v>
      </c>
      <c r="X1006">
        <f t="shared" si="109"/>
        <v>7</v>
      </c>
      <c r="Y1006" cm="1">
        <f t="array" ref="Y1006">_xlfn.IFS(H1006=0.1,1,H1006=0.15,1,H1006=0.05,1,H1006=0,0)</f>
        <v>1</v>
      </c>
      <c r="Z1006">
        <f t="shared" si="110"/>
        <v>7</v>
      </c>
      <c r="AA1006">
        <f t="shared" si="111"/>
        <v>2025</v>
      </c>
    </row>
    <row r="1007" spans="1:27" x14ac:dyDescent="0.3">
      <c r="A1007" s="2">
        <v>45788</v>
      </c>
      <c r="B1007" t="s">
        <v>71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2009</v>
      </c>
      <c r="O1007" t="s">
        <v>2010</v>
      </c>
      <c r="P1007">
        <v>20.5</v>
      </c>
      <c r="Q1007" s="2">
        <v>45788</v>
      </c>
      <c r="R1007" s="2">
        <v>45790</v>
      </c>
      <c r="S1007" t="s">
        <v>74</v>
      </c>
      <c r="T1007">
        <f t="shared" si="105"/>
        <v>9419.61</v>
      </c>
      <c r="U1007">
        <f t="shared" si="106"/>
        <v>15</v>
      </c>
      <c r="V1007">
        <f t="shared" si="107"/>
        <v>11056.6</v>
      </c>
      <c r="W1007">
        <f t="shared" si="108"/>
        <v>1658.4899999999998</v>
      </c>
      <c r="X1007">
        <f t="shared" si="109"/>
        <v>2</v>
      </c>
      <c r="Y1007" cm="1">
        <f t="array" ref="Y1007">_xlfn.IFS(H1007=0.1,1,H1007=0.15,1,H1007=0.05,1,H1007=0,0)</f>
        <v>1</v>
      </c>
      <c r="Z1007">
        <f t="shared" si="110"/>
        <v>20</v>
      </c>
      <c r="AA1007">
        <f t="shared" si="111"/>
        <v>2025</v>
      </c>
    </row>
    <row r="1008" spans="1:27" x14ac:dyDescent="0.3">
      <c r="A1008" s="2">
        <v>45646</v>
      </c>
      <c r="B1008" t="s">
        <v>45</v>
      </c>
      <c r="C1008" t="s">
        <v>81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2011</v>
      </c>
      <c r="O1008" t="s">
        <v>2012</v>
      </c>
      <c r="P1008">
        <v>25.94</v>
      </c>
      <c r="Q1008" s="2">
        <v>45646</v>
      </c>
      <c r="R1008" s="2">
        <v>45655</v>
      </c>
      <c r="S1008" t="s">
        <v>50</v>
      </c>
      <c r="T1008">
        <f t="shared" si="105"/>
        <v>942.44</v>
      </c>
      <c r="U1008">
        <f t="shared" si="106"/>
        <v>0</v>
      </c>
      <c r="V1008">
        <f t="shared" si="107"/>
        <v>916.5</v>
      </c>
      <c r="W1008">
        <f t="shared" si="108"/>
        <v>0</v>
      </c>
      <c r="X1008">
        <f t="shared" si="109"/>
        <v>9</v>
      </c>
      <c r="Y1008" cm="1">
        <f t="array" ref="Y1008">_xlfn.IFS(H1008=0.1,1,H1008=0.15,1,H1008=0.05,1,H1008=0,0)</f>
        <v>0</v>
      </c>
      <c r="Z1008">
        <f t="shared" si="110"/>
        <v>0</v>
      </c>
      <c r="AA1008">
        <f t="shared" si="111"/>
        <v>2024</v>
      </c>
    </row>
    <row r="1009" spans="1:27" x14ac:dyDescent="0.3">
      <c r="A1009" s="2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62</v>
      </c>
      <c r="L1009" t="s">
        <v>25</v>
      </c>
      <c r="M1009">
        <v>0</v>
      </c>
      <c r="N1009" t="s">
        <v>2013</v>
      </c>
      <c r="O1009" t="s">
        <v>2014</v>
      </c>
      <c r="P1009">
        <v>6.91</v>
      </c>
      <c r="Q1009" s="2">
        <v>45034</v>
      </c>
      <c r="R1009" s="2">
        <v>45037</v>
      </c>
      <c r="S1009" t="s">
        <v>28</v>
      </c>
      <c r="T1009">
        <f t="shared" si="105"/>
        <v>252.827</v>
      </c>
      <c r="U1009">
        <f t="shared" si="106"/>
        <v>5</v>
      </c>
      <c r="V1009">
        <f t="shared" si="107"/>
        <v>258.86</v>
      </c>
      <c r="W1009">
        <f t="shared" si="108"/>
        <v>12.943000000000012</v>
      </c>
      <c r="X1009">
        <f t="shared" si="109"/>
        <v>3</v>
      </c>
      <c r="Y1009" cm="1">
        <f t="array" ref="Y1009">_xlfn.IFS(H1009=0.1,1,H1009=0.15,1,H1009=0.05,1,H1009=0,0)</f>
        <v>1</v>
      </c>
      <c r="Z1009">
        <f t="shared" si="110"/>
        <v>2</v>
      </c>
      <c r="AA1009">
        <f t="shared" si="111"/>
        <v>2023</v>
      </c>
    </row>
    <row r="1010" spans="1:27" x14ac:dyDescent="0.3">
      <c r="A1010" s="2">
        <v>45533</v>
      </c>
      <c r="B1010" t="s">
        <v>19</v>
      </c>
      <c r="C1010" t="s">
        <v>132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62</v>
      </c>
      <c r="L1010" t="s">
        <v>41</v>
      </c>
      <c r="M1010">
        <v>0</v>
      </c>
      <c r="N1010" t="s">
        <v>2015</v>
      </c>
      <c r="O1010" t="s">
        <v>978</v>
      </c>
      <c r="P1010">
        <v>30.71</v>
      </c>
      <c r="Q1010" s="2">
        <v>45533</v>
      </c>
      <c r="R1010" s="2">
        <v>45538</v>
      </c>
      <c r="S1010" t="s">
        <v>28</v>
      </c>
      <c r="T1010">
        <f t="shared" si="105"/>
        <v>7695.1009999999997</v>
      </c>
      <c r="U1010">
        <f t="shared" si="106"/>
        <v>10</v>
      </c>
      <c r="V1010">
        <f t="shared" si="107"/>
        <v>8515.99</v>
      </c>
      <c r="W1010">
        <f t="shared" si="108"/>
        <v>851.59900000000016</v>
      </c>
      <c r="X1010">
        <f t="shared" si="109"/>
        <v>5</v>
      </c>
      <c r="Y1010" cm="1">
        <f t="array" ref="Y1010">_xlfn.IFS(H1010=0.1,1,H1010=0.15,1,H1010=0.05,1,H1010=0,0)</f>
        <v>1</v>
      </c>
      <c r="Z1010">
        <f t="shared" si="110"/>
        <v>19</v>
      </c>
      <c r="AA1010">
        <f t="shared" si="111"/>
        <v>2024</v>
      </c>
    </row>
    <row r="1011" spans="1:27" x14ac:dyDescent="0.3">
      <c r="A1011" s="2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65</v>
      </c>
      <c r="L1011" t="s">
        <v>25</v>
      </c>
      <c r="M1011">
        <v>1</v>
      </c>
      <c r="N1011" t="s">
        <v>2016</v>
      </c>
      <c r="O1011" t="s">
        <v>2017</v>
      </c>
      <c r="P1011">
        <v>26.87</v>
      </c>
      <c r="Q1011" s="2">
        <v>45172</v>
      </c>
      <c r="R1011" s="2">
        <v>45179</v>
      </c>
      <c r="S1011" t="s">
        <v>44</v>
      </c>
      <c r="T1011">
        <f t="shared" si="105"/>
        <v>6723.1660000000002</v>
      </c>
      <c r="U1011">
        <f t="shared" si="106"/>
        <v>5</v>
      </c>
      <c r="V1011">
        <f t="shared" si="107"/>
        <v>7047.68</v>
      </c>
      <c r="W1011">
        <f t="shared" si="108"/>
        <v>352.38400000000001</v>
      </c>
      <c r="X1011">
        <f t="shared" si="109"/>
        <v>7</v>
      </c>
      <c r="Y1011" cm="1">
        <f t="array" ref="Y1011">_xlfn.IFS(H1011=0.1,1,H1011=0.15,1,H1011=0.05,1,H1011=0,0)</f>
        <v>1</v>
      </c>
      <c r="Z1011">
        <f t="shared" si="110"/>
        <v>16</v>
      </c>
      <c r="AA1011">
        <f t="shared" si="111"/>
        <v>2023</v>
      </c>
    </row>
    <row r="1012" spans="1:27" x14ac:dyDescent="0.3">
      <c r="A1012" s="2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65</v>
      </c>
      <c r="L1012" t="s">
        <v>25</v>
      </c>
      <c r="M1012">
        <v>1</v>
      </c>
      <c r="N1012" t="s">
        <v>2018</v>
      </c>
      <c r="O1012" t="s">
        <v>2019</v>
      </c>
      <c r="P1012">
        <v>36.729999999999997</v>
      </c>
      <c r="Q1012" s="2">
        <v>45796</v>
      </c>
      <c r="R1012" s="2">
        <v>45801</v>
      </c>
      <c r="S1012" t="s">
        <v>28</v>
      </c>
      <c r="T1012">
        <f t="shared" si="105"/>
        <v>2138.69</v>
      </c>
      <c r="U1012">
        <f t="shared" si="106"/>
        <v>0</v>
      </c>
      <c r="V1012">
        <f t="shared" si="107"/>
        <v>2100.96</v>
      </c>
      <c r="W1012">
        <f t="shared" si="108"/>
        <v>0</v>
      </c>
      <c r="X1012">
        <f t="shared" si="109"/>
        <v>5</v>
      </c>
      <c r="Y1012" cm="1">
        <f t="array" ref="Y1012">_xlfn.IFS(H1012=0.1,1,H1012=0.15,1,H1012=0.05,1,H1012=0,0)</f>
        <v>0</v>
      </c>
      <c r="Z1012">
        <f t="shared" si="110"/>
        <v>0</v>
      </c>
      <c r="AA1012">
        <f t="shared" si="111"/>
        <v>2025</v>
      </c>
    </row>
    <row r="1013" spans="1:27" x14ac:dyDescent="0.3">
      <c r="A1013" s="2">
        <v>45095</v>
      </c>
      <c r="B1013" t="s">
        <v>19</v>
      </c>
      <c r="C1013" t="s">
        <v>81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2020</v>
      </c>
      <c r="O1013" t="s">
        <v>2021</v>
      </c>
      <c r="P1013">
        <v>31.95</v>
      </c>
      <c r="Q1013" s="2">
        <v>45095</v>
      </c>
      <c r="R1013" s="2">
        <v>45103</v>
      </c>
      <c r="S1013" t="s">
        <v>28</v>
      </c>
      <c r="T1013">
        <f t="shared" si="105"/>
        <v>1718.2350000000001</v>
      </c>
      <c r="U1013">
        <f t="shared" si="106"/>
        <v>10</v>
      </c>
      <c r="V1013">
        <f t="shared" si="107"/>
        <v>1873.6499999999999</v>
      </c>
      <c r="W1013">
        <f t="shared" si="108"/>
        <v>187.36499999999978</v>
      </c>
      <c r="X1013">
        <f t="shared" si="109"/>
        <v>8</v>
      </c>
      <c r="Y1013" cm="1">
        <f t="array" ref="Y1013">_xlfn.IFS(H1013=0.1,1,H1013=0.15,1,H1013=0.05,1,H1013=0,0)</f>
        <v>1</v>
      </c>
      <c r="Z1013">
        <f t="shared" si="110"/>
        <v>15</v>
      </c>
      <c r="AA1013">
        <f t="shared" si="111"/>
        <v>2023</v>
      </c>
    </row>
    <row r="1014" spans="1:27" x14ac:dyDescent="0.3">
      <c r="A1014" s="2">
        <v>45826</v>
      </c>
      <c r="B1014" t="s">
        <v>71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62</v>
      </c>
      <c r="L1014" t="s">
        <v>41</v>
      </c>
      <c r="M1014">
        <v>0</v>
      </c>
      <c r="N1014" t="s">
        <v>2022</v>
      </c>
      <c r="O1014" t="s">
        <v>2023</v>
      </c>
      <c r="P1014">
        <v>46.76</v>
      </c>
      <c r="Q1014" s="2">
        <v>45826</v>
      </c>
      <c r="R1014" s="2">
        <v>45830</v>
      </c>
      <c r="S1014" t="s">
        <v>74</v>
      </c>
      <c r="T1014">
        <f t="shared" si="105"/>
        <v>3213.86</v>
      </c>
      <c r="U1014">
        <f t="shared" si="106"/>
        <v>10</v>
      </c>
      <c r="V1014">
        <f t="shared" si="107"/>
        <v>3519</v>
      </c>
      <c r="W1014">
        <f t="shared" si="108"/>
        <v>351.90000000000009</v>
      </c>
      <c r="X1014">
        <f t="shared" si="109"/>
        <v>4</v>
      </c>
      <c r="Y1014" cm="1">
        <f t="array" ref="Y1014">_xlfn.IFS(H1014=0.1,1,H1014=0.15,1,H1014=0.05,1,H1014=0,0)</f>
        <v>1</v>
      </c>
      <c r="Z1014">
        <f t="shared" si="110"/>
        <v>9</v>
      </c>
      <c r="AA1014">
        <f t="shared" si="111"/>
        <v>2025</v>
      </c>
    </row>
    <row r="1015" spans="1:27" x14ac:dyDescent="0.3">
      <c r="A1015" s="2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62</v>
      </c>
      <c r="L1015" t="s">
        <v>25</v>
      </c>
      <c r="M1015">
        <v>1</v>
      </c>
      <c r="N1015" t="s">
        <v>2024</v>
      </c>
      <c r="O1015" t="s">
        <v>2025</v>
      </c>
      <c r="P1015">
        <v>26.4</v>
      </c>
      <c r="Q1015" s="2">
        <v>45564</v>
      </c>
      <c r="R1015" s="2">
        <v>45572</v>
      </c>
      <c r="S1015" t="s">
        <v>38</v>
      </c>
      <c r="T1015">
        <f t="shared" si="105"/>
        <v>2354.71</v>
      </c>
      <c r="U1015">
        <f t="shared" si="106"/>
        <v>5</v>
      </c>
      <c r="V1015">
        <f t="shared" si="107"/>
        <v>2449.8000000000002</v>
      </c>
      <c r="W1015">
        <f t="shared" si="108"/>
        <v>122.49000000000024</v>
      </c>
      <c r="X1015">
        <f t="shared" si="109"/>
        <v>8</v>
      </c>
      <c r="Y1015" cm="1">
        <f t="array" ref="Y1015">_xlfn.IFS(H1015=0.1,1,H1015=0.15,1,H1015=0.05,1,H1015=0,0)</f>
        <v>1</v>
      </c>
      <c r="Z1015">
        <f t="shared" si="110"/>
        <v>12</v>
      </c>
      <c r="AA1015">
        <f t="shared" si="111"/>
        <v>2024</v>
      </c>
    </row>
    <row r="1016" spans="1:27" x14ac:dyDescent="0.3">
      <c r="A1016" s="2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2026</v>
      </c>
      <c r="O1016" t="s">
        <v>2027</v>
      </c>
      <c r="P1016">
        <v>33.6</v>
      </c>
      <c r="Q1016" s="2">
        <v>45347</v>
      </c>
      <c r="R1016" s="2">
        <v>45355</v>
      </c>
      <c r="S1016" t="s">
        <v>28</v>
      </c>
      <c r="T1016">
        <f t="shared" si="105"/>
        <v>265.48</v>
      </c>
      <c r="U1016">
        <f t="shared" si="106"/>
        <v>15</v>
      </c>
      <c r="V1016">
        <f t="shared" si="107"/>
        <v>272.8</v>
      </c>
      <c r="W1016">
        <f t="shared" si="108"/>
        <v>40.920000000000016</v>
      </c>
      <c r="X1016">
        <f t="shared" si="109"/>
        <v>8</v>
      </c>
      <c r="Y1016" cm="1">
        <f t="array" ref="Y1016">_xlfn.IFS(H1016=0.1,1,H1016=0.15,1,H1016=0.05,1,H1016=0,0)</f>
        <v>1</v>
      </c>
      <c r="Z1016">
        <f t="shared" si="110"/>
        <v>20</v>
      </c>
      <c r="AA1016">
        <f t="shared" si="111"/>
        <v>2024</v>
      </c>
    </row>
    <row r="1017" spans="1:27" x14ac:dyDescent="0.3">
      <c r="A1017" s="2">
        <v>45372</v>
      </c>
      <c r="B1017" t="s">
        <v>39</v>
      </c>
      <c r="C1017" t="s">
        <v>132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6981.1699999999992</v>
      </c>
      <c r="K1017" t="s">
        <v>65</v>
      </c>
      <c r="L1017" t="s">
        <v>25</v>
      </c>
      <c r="M1017">
        <v>1</v>
      </c>
      <c r="N1017" t="s">
        <v>2028</v>
      </c>
      <c r="O1017" t="s">
        <v>2029</v>
      </c>
      <c r="P1017">
        <v>20.23</v>
      </c>
      <c r="Q1017" s="2">
        <v>45372</v>
      </c>
      <c r="R1017" s="2">
        <v>45381</v>
      </c>
      <c r="S1017" t="s">
        <v>44</v>
      </c>
      <c r="T1017">
        <f t="shared" si="105"/>
        <v>7002.3999999999987</v>
      </c>
      <c r="U1017">
        <f t="shared" si="106"/>
        <v>5</v>
      </c>
      <c r="V1017">
        <f t="shared" si="107"/>
        <v>7348.5999999999995</v>
      </c>
      <c r="W1017">
        <f t="shared" si="108"/>
        <v>367.43000000000029</v>
      </c>
      <c r="X1017">
        <f t="shared" si="109"/>
        <v>9</v>
      </c>
      <c r="Y1017" cm="1">
        <f t="array" ref="Y1017">_xlfn.IFS(H1017=0.1,1,H1017=0.15,1,H1017=0.05,1,H1017=0,0)</f>
        <v>1</v>
      </c>
      <c r="Z1017">
        <f t="shared" si="110"/>
        <v>14</v>
      </c>
      <c r="AA1017">
        <f t="shared" si="111"/>
        <v>2024</v>
      </c>
    </row>
    <row r="1018" spans="1:27" x14ac:dyDescent="0.3">
      <c r="A1018" s="2">
        <v>45325</v>
      </c>
      <c r="B1018" t="s">
        <v>39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65</v>
      </c>
      <c r="L1018" t="s">
        <v>35</v>
      </c>
      <c r="M1018">
        <v>0</v>
      </c>
      <c r="N1018" t="s">
        <v>2030</v>
      </c>
      <c r="O1018" t="s">
        <v>2031</v>
      </c>
      <c r="P1018">
        <v>28.09</v>
      </c>
      <c r="Q1018" s="2">
        <v>45325</v>
      </c>
      <c r="R1018" s="2">
        <v>45331</v>
      </c>
      <c r="S1018" t="s">
        <v>44</v>
      </c>
      <c r="T1018">
        <f t="shared" si="105"/>
        <v>1064.53</v>
      </c>
      <c r="U1018">
        <f t="shared" si="106"/>
        <v>10</v>
      </c>
      <c r="V1018">
        <f t="shared" si="107"/>
        <v>1151.5999999999999</v>
      </c>
      <c r="W1018">
        <f t="shared" si="108"/>
        <v>115.15999999999985</v>
      </c>
      <c r="X1018">
        <f t="shared" si="109"/>
        <v>6</v>
      </c>
      <c r="Y1018" cm="1">
        <f t="array" ref="Y1018">_xlfn.IFS(H1018=0.1,1,H1018=0.15,1,H1018=0.05,1,H1018=0,0)</f>
        <v>1</v>
      </c>
      <c r="Z1018">
        <f t="shared" si="110"/>
        <v>8</v>
      </c>
      <c r="AA1018">
        <f t="shared" si="111"/>
        <v>2024</v>
      </c>
    </row>
    <row r="1019" spans="1:27" x14ac:dyDescent="0.3">
      <c r="A1019" s="2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2032</v>
      </c>
      <c r="O1019" t="s">
        <v>2033</v>
      </c>
      <c r="P1019">
        <v>43.32</v>
      </c>
      <c r="Q1019" s="2">
        <v>45251</v>
      </c>
      <c r="R1019" s="2">
        <v>45254</v>
      </c>
      <c r="S1019" t="s">
        <v>38</v>
      </c>
      <c r="T1019">
        <f t="shared" si="105"/>
        <v>1081.6319999999998</v>
      </c>
      <c r="U1019">
        <f t="shared" si="106"/>
        <v>10</v>
      </c>
      <c r="V1019">
        <f t="shared" si="107"/>
        <v>1153.68</v>
      </c>
      <c r="W1019">
        <f t="shared" si="108"/>
        <v>115.36800000000017</v>
      </c>
      <c r="X1019">
        <f t="shared" si="109"/>
        <v>3</v>
      </c>
      <c r="Y1019" cm="1">
        <f t="array" ref="Y1019">_xlfn.IFS(H1019=0.1,1,H1019=0.15,1,H1019=0.05,1,H1019=0,0)</f>
        <v>1</v>
      </c>
      <c r="Z1019">
        <f t="shared" si="110"/>
        <v>2</v>
      </c>
      <c r="AA1019">
        <f t="shared" si="111"/>
        <v>2023</v>
      </c>
    </row>
    <row r="1020" spans="1:27" x14ac:dyDescent="0.3">
      <c r="A1020" s="2">
        <v>44936</v>
      </c>
      <c r="B1020" t="s">
        <v>71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62</v>
      </c>
      <c r="L1020" t="s">
        <v>59</v>
      </c>
      <c r="M1020">
        <v>0</v>
      </c>
      <c r="N1020" t="s">
        <v>2034</v>
      </c>
      <c r="O1020" t="s">
        <v>2035</v>
      </c>
      <c r="P1020">
        <v>14.94</v>
      </c>
      <c r="Q1020" s="2">
        <v>44936</v>
      </c>
      <c r="R1020" s="2">
        <v>44944</v>
      </c>
      <c r="S1020" t="s">
        <v>74</v>
      </c>
      <c r="T1020">
        <f t="shared" si="105"/>
        <v>3528.66</v>
      </c>
      <c r="U1020">
        <f t="shared" si="106"/>
        <v>0</v>
      </c>
      <c r="V1020">
        <f t="shared" si="107"/>
        <v>3513.72</v>
      </c>
      <c r="W1020">
        <f t="shared" si="108"/>
        <v>0</v>
      </c>
      <c r="X1020">
        <f t="shared" si="109"/>
        <v>8</v>
      </c>
      <c r="Y1020" cm="1">
        <f t="array" ref="Y1020">_xlfn.IFS(H1020=0.1,1,H1020=0.15,1,H1020=0.05,1,H1020=0,0)</f>
        <v>0</v>
      </c>
      <c r="Z1020">
        <f t="shared" si="110"/>
        <v>0</v>
      </c>
      <c r="AA1020">
        <f t="shared" si="111"/>
        <v>2023</v>
      </c>
    </row>
    <row r="1021" spans="1:27" x14ac:dyDescent="0.3">
      <c r="A1021" s="2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68</v>
      </c>
      <c r="J1021">
        <v>2347.87</v>
      </c>
      <c r="K1021" t="s">
        <v>24</v>
      </c>
      <c r="L1021" t="s">
        <v>35</v>
      </c>
      <c r="M1021">
        <v>0</v>
      </c>
      <c r="N1021" t="s">
        <v>2036</v>
      </c>
      <c r="O1021" t="s">
        <v>601</v>
      </c>
      <c r="P1021">
        <v>18.91</v>
      </c>
      <c r="Q1021" s="2">
        <v>44963</v>
      </c>
      <c r="R1021" s="2">
        <v>44967</v>
      </c>
      <c r="S1021" t="s">
        <v>50</v>
      </c>
      <c r="T1021">
        <f t="shared" si="105"/>
        <v>2366.7799999999997</v>
      </c>
      <c r="U1021">
        <f t="shared" si="106"/>
        <v>0</v>
      </c>
      <c r="V1021">
        <f t="shared" si="107"/>
        <v>2347.8700000000003</v>
      </c>
      <c r="W1021">
        <f t="shared" si="108"/>
        <v>0</v>
      </c>
      <c r="X1021">
        <f t="shared" si="109"/>
        <v>4</v>
      </c>
      <c r="Y1021" cm="1">
        <f t="array" ref="Y1021">_xlfn.IFS(H1021=0.1,1,H1021=0.15,1,H1021=0.05,1,H1021=0,0)</f>
        <v>0</v>
      </c>
      <c r="Z1021">
        <f t="shared" si="110"/>
        <v>0</v>
      </c>
      <c r="AA1021">
        <f t="shared" si="111"/>
        <v>2023</v>
      </c>
    </row>
    <row r="1022" spans="1:27" x14ac:dyDescent="0.3">
      <c r="A1022" s="2">
        <v>45757</v>
      </c>
      <c r="B1022" t="s">
        <v>39</v>
      </c>
      <c r="C1022" t="s">
        <v>132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62</v>
      </c>
      <c r="L1022" t="s">
        <v>41</v>
      </c>
      <c r="M1022">
        <v>0</v>
      </c>
      <c r="N1022" t="s">
        <v>2037</v>
      </c>
      <c r="O1022" t="s">
        <v>1828</v>
      </c>
      <c r="P1022">
        <v>13.82</v>
      </c>
      <c r="Q1022" s="2">
        <v>45757</v>
      </c>
      <c r="R1022" s="2">
        <v>45767</v>
      </c>
      <c r="S1022" t="s">
        <v>44</v>
      </c>
      <c r="T1022">
        <f t="shared" si="105"/>
        <v>2263.3200000000002</v>
      </c>
      <c r="U1022">
        <f t="shared" si="106"/>
        <v>0</v>
      </c>
      <c r="V1022">
        <f t="shared" si="107"/>
        <v>2249.5</v>
      </c>
      <c r="W1022">
        <f t="shared" si="108"/>
        <v>0</v>
      </c>
      <c r="X1022">
        <f t="shared" si="109"/>
        <v>10</v>
      </c>
      <c r="Y1022" cm="1">
        <f t="array" ref="Y1022">_xlfn.IFS(H1022=0.1,1,H1022=0.15,1,H1022=0.05,1,H1022=0,0)</f>
        <v>0</v>
      </c>
      <c r="Z1022">
        <f t="shared" si="110"/>
        <v>0</v>
      </c>
      <c r="AA1022">
        <f t="shared" si="111"/>
        <v>2025</v>
      </c>
    </row>
    <row r="1023" spans="1:27" x14ac:dyDescent="0.3">
      <c r="A1023" s="2">
        <v>45336</v>
      </c>
      <c r="B1023" t="s">
        <v>19</v>
      </c>
      <c r="C1023" t="s">
        <v>81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515.49849999999992</v>
      </c>
      <c r="K1023" t="s">
        <v>58</v>
      </c>
      <c r="L1023" t="s">
        <v>59</v>
      </c>
      <c r="M1023">
        <v>0</v>
      </c>
      <c r="N1023" t="s">
        <v>2038</v>
      </c>
      <c r="O1023" t="s">
        <v>2039</v>
      </c>
      <c r="P1023">
        <v>33.200000000000003</v>
      </c>
      <c r="Q1023" s="2">
        <v>45336</v>
      </c>
      <c r="R1023" s="2">
        <v>45343</v>
      </c>
      <c r="S1023" t="s">
        <v>28</v>
      </c>
      <c r="T1023">
        <f t="shared" si="105"/>
        <v>548.69849999999997</v>
      </c>
      <c r="U1023">
        <f t="shared" si="106"/>
        <v>5</v>
      </c>
      <c r="V1023">
        <f t="shared" si="107"/>
        <v>542.63</v>
      </c>
      <c r="W1023">
        <f t="shared" si="108"/>
        <v>27.131500000000074</v>
      </c>
      <c r="X1023">
        <f t="shared" si="109"/>
        <v>7</v>
      </c>
      <c r="Y1023" cm="1">
        <f t="array" ref="Y1023">_xlfn.IFS(H1023=0.1,1,H1023=0.15,1,H1023=0.05,1,H1023=0,0)</f>
        <v>1</v>
      </c>
      <c r="Z1023">
        <f t="shared" si="110"/>
        <v>1</v>
      </c>
      <c r="AA1023">
        <f t="shared" si="111"/>
        <v>2024</v>
      </c>
    </row>
    <row r="1024" spans="1:27" x14ac:dyDescent="0.3">
      <c r="A1024" s="2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L1024" t="s">
        <v>59</v>
      </c>
      <c r="M1024">
        <v>1</v>
      </c>
      <c r="N1024" t="s">
        <v>2040</v>
      </c>
      <c r="O1024" t="s">
        <v>2041</v>
      </c>
      <c r="P1024">
        <v>17.760000000000002</v>
      </c>
      <c r="Q1024" s="2">
        <v>45803</v>
      </c>
      <c r="R1024" s="2">
        <v>45806</v>
      </c>
      <c r="S1024" t="s">
        <v>28</v>
      </c>
      <c r="T1024">
        <f t="shared" si="105"/>
        <v>202.846</v>
      </c>
      <c r="U1024">
        <f t="shared" si="106"/>
        <v>10</v>
      </c>
      <c r="V1024">
        <f t="shared" si="107"/>
        <v>204.54</v>
      </c>
      <c r="W1024">
        <f t="shared" si="108"/>
        <v>20.453999999999979</v>
      </c>
      <c r="X1024">
        <f t="shared" si="109"/>
        <v>3</v>
      </c>
      <c r="Y1024" cm="1">
        <f t="array" ref="Y1024">_xlfn.IFS(H1024=0.1,1,H1024=0.15,1,H1024=0.05,1,H1024=0,0)</f>
        <v>1</v>
      </c>
      <c r="Z1024">
        <f t="shared" si="110"/>
        <v>1</v>
      </c>
      <c r="AA1024">
        <f t="shared" si="111"/>
        <v>2025</v>
      </c>
    </row>
    <row r="1025" spans="1:27" x14ac:dyDescent="0.3">
      <c r="A1025" s="2">
        <v>45181</v>
      </c>
      <c r="B1025" t="s">
        <v>71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62</v>
      </c>
      <c r="L1025" t="s">
        <v>25</v>
      </c>
      <c r="M1025">
        <v>0</v>
      </c>
      <c r="N1025" t="s">
        <v>2042</v>
      </c>
      <c r="O1025" t="s">
        <v>1605</v>
      </c>
      <c r="P1025">
        <v>13.09</v>
      </c>
      <c r="Q1025" s="2">
        <v>45181</v>
      </c>
      <c r="R1025" s="2">
        <v>45188</v>
      </c>
      <c r="S1025" t="s">
        <v>74</v>
      </c>
      <c r="T1025">
        <f t="shared" si="105"/>
        <v>3579.52</v>
      </c>
      <c r="U1025">
        <f t="shared" si="106"/>
        <v>15</v>
      </c>
      <c r="V1025">
        <f t="shared" si="107"/>
        <v>4195.8</v>
      </c>
      <c r="W1025">
        <f t="shared" si="108"/>
        <v>629.37000000000035</v>
      </c>
      <c r="X1025">
        <f t="shared" si="109"/>
        <v>7</v>
      </c>
      <c r="Y1025" cm="1">
        <f t="array" ref="Y1025">_xlfn.IFS(H1025=0.1,1,H1025=0.15,1,H1025=0.05,1,H1025=0,0)</f>
        <v>1</v>
      </c>
      <c r="Z1025">
        <f t="shared" si="110"/>
        <v>10</v>
      </c>
      <c r="AA1025">
        <f t="shared" si="111"/>
        <v>2023</v>
      </c>
    </row>
    <row r="1026" spans="1:27" x14ac:dyDescent="0.3">
      <c r="A1026" s="2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2043</v>
      </c>
      <c r="O1026" t="s">
        <v>2044</v>
      </c>
      <c r="P1026">
        <v>22.2</v>
      </c>
      <c r="Q1026" s="2">
        <v>45063</v>
      </c>
      <c r="R1026" s="2">
        <v>45072</v>
      </c>
      <c r="S1026" t="s">
        <v>28</v>
      </c>
      <c r="T1026">
        <f t="shared" si="105"/>
        <v>546.08600000000001</v>
      </c>
      <c r="U1026">
        <f t="shared" si="106"/>
        <v>15</v>
      </c>
      <c r="V1026">
        <f t="shared" si="107"/>
        <v>615.16</v>
      </c>
      <c r="W1026">
        <f t="shared" si="108"/>
        <v>92.274000000000001</v>
      </c>
      <c r="X1026">
        <f t="shared" si="109"/>
        <v>9</v>
      </c>
      <c r="Y1026" cm="1">
        <f t="array" ref="Y1026">_xlfn.IFS(H1026=0.1,1,H1026=0.15,1,H1026=0.05,1,H1026=0,0)</f>
        <v>1</v>
      </c>
      <c r="Z1026">
        <f t="shared" si="110"/>
        <v>7</v>
      </c>
      <c r="AA1026">
        <f t="shared" si="111"/>
        <v>2023</v>
      </c>
    </row>
    <row r="1027" spans="1:27" x14ac:dyDescent="0.3">
      <c r="A1027" s="2">
        <v>45320</v>
      </c>
      <c r="B1027" t="s">
        <v>71</v>
      </c>
      <c r="C1027" t="s">
        <v>132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65</v>
      </c>
      <c r="L1027" t="s">
        <v>35</v>
      </c>
      <c r="M1027">
        <v>0</v>
      </c>
      <c r="N1027" t="s">
        <v>2045</v>
      </c>
      <c r="O1027" t="s">
        <v>2046</v>
      </c>
      <c r="P1027">
        <v>38.46</v>
      </c>
      <c r="Q1027" s="2">
        <v>45320</v>
      </c>
      <c r="R1027" s="2">
        <v>45322</v>
      </c>
      <c r="S1027" t="s">
        <v>74</v>
      </c>
      <c r="T1027">
        <f t="shared" ref="T1027:T1090" si="112">SUM(J1027:P1027)</f>
        <v>2611.212</v>
      </c>
      <c r="U1027">
        <f t="shared" ref="U1027:U1090" si="113">PRODUCT(100,H1027)</f>
        <v>5</v>
      </c>
      <c r="V1027">
        <f t="shared" ref="V1027:V1090" si="114">PRODUCT(D1027:E1027)</f>
        <v>2708.16</v>
      </c>
      <c r="W1027">
        <f t="shared" ref="W1027:W1090" si="115" xml:space="preserve"> V1027-J1027</f>
        <v>135.4079999999999</v>
      </c>
      <c r="X1027">
        <f t="shared" ref="X1027:X1090" si="116">R1027-Q1027</f>
        <v>2</v>
      </c>
      <c r="Y1027" cm="1">
        <f t="array" ref="Y1027">_xlfn.IFS(H1027=0.1,1,H1027=0.15,1,H1027=0.05,1,H1027=0,0)</f>
        <v>1</v>
      </c>
      <c r="Z1027">
        <f t="shared" ref="Z1027:Z1090" si="117">PRODUCT(Y1027,D1027)</f>
        <v>7</v>
      </c>
      <c r="AA1027">
        <f t="shared" ref="AA1027:AA1090" si="118">YEAR(A1027)</f>
        <v>2024</v>
      </c>
    </row>
    <row r="1028" spans="1:27" x14ac:dyDescent="0.3">
      <c r="A1028" s="2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62</v>
      </c>
      <c r="L1028" t="s">
        <v>25</v>
      </c>
      <c r="M1028">
        <v>0</v>
      </c>
      <c r="N1028" t="s">
        <v>2047</v>
      </c>
      <c r="O1028" t="s">
        <v>2048</v>
      </c>
      <c r="P1028">
        <v>30.03</v>
      </c>
      <c r="Q1028" s="2">
        <v>45786</v>
      </c>
      <c r="R1028" s="2">
        <v>45795</v>
      </c>
      <c r="S1028" t="s">
        <v>44</v>
      </c>
      <c r="T1028">
        <f t="shared" si="112"/>
        <v>952.67</v>
      </c>
      <c r="U1028">
        <f t="shared" si="113"/>
        <v>5</v>
      </c>
      <c r="V1028">
        <f t="shared" si="114"/>
        <v>971.2</v>
      </c>
      <c r="W1028">
        <f t="shared" si="115"/>
        <v>48.560000000000059</v>
      </c>
      <c r="X1028">
        <f t="shared" si="116"/>
        <v>9</v>
      </c>
      <c r="Y1028" cm="1">
        <f t="array" ref="Y1028">_xlfn.IFS(H1028=0.1,1,H1028=0.15,1,H1028=0.05,1,H1028=0,0)</f>
        <v>1</v>
      </c>
      <c r="Z1028">
        <f t="shared" si="117"/>
        <v>4</v>
      </c>
      <c r="AA1028">
        <f t="shared" si="118"/>
        <v>2025</v>
      </c>
    </row>
    <row r="1029" spans="1:27" x14ac:dyDescent="0.3">
      <c r="A1029" s="2">
        <v>45387</v>
      </c>
      <c r="B1029" t="s">
        <v>19</v>
      </c>
      <c r="C1029" t="s">
        <v>132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65</v>
      </c>
      <c r="L1029" t="s">
        <v>59</v>
      </c>
      <c r="M1029">
        <v>0</v>
      </c>
      <c r="N1029" t="s">
        <v>2049</v>
      </c>
      <c r="O1029" t="s">
        <v>2050</v>
      </c>
      <c r="P1029">
        <v>17.36</v>
      </c>
      <c r="Q1029" s="2">
        <v>45387</v>
      </c>
      <c r="R1029" s="2">
        <v>45391</v>
      </c>
      <c r="S1029" t="s">
        <v>28</v>
      </c>
      <c r="T1029">
        <f t="shared" si="112"/>
        <v>1659.7199999999998</v>
      </c>
      <c r="U1029">
        <f t="shared" si="113"/>
        <v>0</v>
      </c>
      <c r="V1029">
        <f t="shared" si="114"/>
        <v>1642.36</v>
      </c>
      <c r="W1029">
        <f t="shared" si="115"/>
        <v>0</v>
      </c>
      <c r="X1029">
        <f t="shared" si="116"/>
        <v>4</v>
      </c>
      <c r="Y1029" cm="1">
        <f t="array" ref="Y1029">_xlfn.IFS(H1029=0.1,1,H1029=0.15,1,H1029=0.05,1,H1029=0,0)</f>
        <v>0</v>
      </c>
      <c r="Z1029">
        <f t="shared" si="117"/>
        <v>0</v>
      </c>
      <c r="AA1029">
        <f t="shared" si="118"/>
        <v>2024</v>
      </c>
    </row>
    <row r="1030" spans="1:27" x14ac:dyDescent="0.3">
      <c r="A1030" s="2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65</v>
      </c>
      <c r="L1030" t="s">
        <v>25</v>
      </c>
      <c r="M1030">
        <v>0</v>
      </c>
      <c r="N1030" t="s">
        <v>2051</v>
      </c>
      <c r="O1030" t="s">
        <v>2052</v>
      </c>
      <c r="P1030">
        <v>19.010000000000002</v>
      </c>
      <c r="Q1030" s="2">
        <v>45505</v>
      </c>
      <c r="R1030" s="2">
        <v>45514</v>
      </c>
      <c r="S1030" t="s">
        <v>38</v>
      </c>
      <c r="T1030">
        <f t="shared" si="112"/>
        <v>46.881500000000003</v>
      </c>
      <c r="U1030">
        <f t="shared" si="113"/>
        <v>15</v>
      </c>
      <c r="V1030">
        <f t="shared" si="114"/>
        <v>32.79</v>
      </c>
      <c r="W1030">
        <f t="shared" si="115"/>
        <v>4.9184999999999981</v>
      </c>
      <c r="X1030">
        <f t="shared" si="116"/>
        <v>9</v>
      </c>
      <c r="Y1030" cm="1">
        <f t="array" ref="Y1030">_xlfn.IFS(H1030=0.1,1,H1030=0.15,1,H1030=0.05,1,H1030=0,0)</f>
        <v>1</v>
      </c>
      <c r="Z1030">
        <f t="shared" si="117"/>
        <v>3</v>
      </c>
      <c r="AA1030">
        <f t="shared" si="118"/>
        <v>2024</v>
      </c>
    </row>
    <row r="1031" spans="1:27" x14ac:dyDescent="0.3">
      <c r="A1031" s="2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68</v>
      </c>
      <c r="J1031">
        <v>3003.2</v>
      </c>
      <c r="K1031" t="s">
        <v>65</v>
      </c>
      <c r="L1031" t="s">
        <v>59</v>
      </c>
      <c r="M1031">
        <v>0</v>
      </c>
      <c r="N1031" t="s">
        <v>2053</v>
      </c>
      <c r="O1031" t="s">
        <v>2054</v>
      </c>
      <c r="P1031">
        <v>41.66</v>
      </c>
      <c r="Q1031" s="2">
        <v>45483</v>
      </c>
      <c r="R1031" s="2">
        <v>45485</v>
      </c>
      <c r="S1031" t="s">
        <v>38</v>
      </c>
      <c r="T1031">
        <f t="shared" si="112"/>
        <v>3044.8599999999997</v>
      </c>
      <c r="U1031">
        <f t="shared" si="113"/>
        <v>0</v>
      </c>
      <c r="V1031">
        <f t="shared" si="114"/>
        <v>3003.2</v>
      </c>
      <c r="W1031">
        <f t="shared" si="115"/>
        <v>0</v>
      </c>
      <c r="X1031">
        <f t="shared" si="116"/>
        <v>2</v>
      </c>
      <c r="Y1031" cm="1">
        <f t="array" ref="Y1031">_xlfn.IFS(H1031=0.1,1,H1031=0.15,1,H1031=0.05,1,H1031=0,0)</f>
        <v>0</v>
      </c>
      <c r="Z1031">
        <f t="shared" si="117"/>
        <v>0</v>
      </c>
      <c r="AA1031">
        <f t="shared" si="118"/>
        <v>2024</v>
      </c>
    </row>
    <row r="1032" spans="1:27" x14ac:dyDescent="0.3">
      <c r="A1032" s="2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354.96900000000011</v>
      </c>
      <c r="K1032" t="s">
        <v>34</v>
      </c>
      <c r="L1032" t="s">
        <v>41</v>
      </c>
      <c r="M1032">
        <v>0</v>
      </c>
      <c r="N1032" t="s">
        <v>2055</v>
      </c>
      <c r="O1032" t="s">
        <v>2056</v>
      </c>
      <c r="P1032">
        <v>6.37</v>
      </c>
      <c r="Q1032" s="2">
        <v>45458</v>
      </c>
      <c r="R1032" s="2">
        <v>45463</v>
      </c>
      <c r="S1032" t="s">
        <v>28</v>
      </c>
      <c r="T1032">
        <f t="shared" si="112"/>
        <v>361.33900000000011</v>
      </c>
      <c r="U1032">
        <f t="shared" si="113"/>
        <v>10</v>
      </c>
      <c r="V1032">
        <f t="shared" si="114"/>
        <v>394.41</v>
      </c>
      <c r="W1032">
        <f t="shared" si="115"/>
        <v>39.440999999999917</v>
      </c>
      <c r="X1032">
        <f t="shared" si="116"/>
        <v>5</v>
      </c>
      <c r="Y1032" cm="1">
        <f t="array" ref="Y1032">_xlfn.IFS(H1032=0.1,1,H1032=0.15,1,H1032=0.05,1,H1032=0,0)</f>
        <v>1</v>
      </c>
      <c r="Z1032">
        <f t="shared" si="117"/>
        <v>1</v>
      </c>
      <c r="AA1032">
        <f t="shared" si="118"/>
        <v>2024</v>
      </c>
    </row>
    <row r="1033" spans="1:27" x14ac:dyDescent="0.3">
      <c r="A1033" s="2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L1033" t="s">
        <v>59</v>
      </c>
      <c r="M1033">
        <v>0</v>
      </c>
      <c r="N1033" t="s">
        <v>2057</v>
      </c>
      <c r="O1033" t="s">
        <v>2058</v>
      </c>
      <c r="P1033">
        <v>48.66</v>
      </c>
      <c r="Q1033" s="2">
        <v>45434</v>
      </c>
      <c r="R1033" s="2">
        <v>45441</v>
      </c>
      <c r="S1033" t="s">
        <v>28</v>
      </c>
      <c r="T1033">
        <f t="shared" si="112"/>
        <v>2779.098</v>
      </c>
      <c r="U1033">
        <f t="shared" si="113"/>
        <v>15</v>
      </c>
      <c r="V1033">
        <f t="shared" si="114"/>
        <v>3212.2799999999997</v>
      </c>
      <c r="W1033">
        <f t="shared" si="115"/>
        <v>481.84199999999964</v>
      </c>
      <c r="X1033">
        <f t="shared" si="116"/>
        <v>7</v>
      </c>
      <c r="Y1033" cm="1">
        <f t="array" ref="Y1033">_xlfn.IFS(H1033=0.1,1,H1033=0.15,1,H1033=0.05,1,H1033=0,0)</f>
        <v>1</v>
      </c>
      <c r="Z1033">
        <f t="shared" si="117"/>
        <v>6</v>
      </c>
      <c r="AA1033">
        <f t="shared" si="118"/>
        <v>2024</v>
      </c>
    </row>
    <row r="1034" spans="1:27" x14ac:dyDescent="0.3">
      <c r="A1034" s="2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2059</v>
      </c>
      <c r="O1034" t="s">
        <v>2060</v>
      </c>
      <c r="P1034">
        <v>38.979999999999997</v>
      </c>
      <c r="Q1034" s="2">
        <v>45305</v>
      </c>
      <c r="R1034" s="2">
        <v>45309</v>
      </c>
      <c r="S1034" t="s">
        <v>28</v>
      </c>
      <c r="T1034">
        <f t="shared" si="112"/>
        <v>7400.1309999999994</v>
      </c>
      <c r="U1034">
        <f t="shared" si="113"/>
        <v>5</v>
      </c>
      <c r="V1034">
        <f t="shared" si="114"/>
        <v>7748.58</v>
      </c>
      <c r="W1034">
        <f t="shared" si="115"/>
        <v>387.42900000000009</v>
      </c>
      <c r="X1034">
        <f t="shared" si="116"/>
        <v>4</v>
      </c>
      <c r="Y1034" cm="1">
        <f t="array" ref="Y1034">_xlfn.IFS(H1034=0.1,1,H1034=0.15,1,H1034=0.05,1,H1034=0,0)</f>
        <v>1</v>
      </c>
      <c r="Z1034">
        <f t="shared" si="117"/>
        <v>19</v>
      </c>
      <c r="AA1034">
        <f t="shared" si="118"/>
        <v>2024</v>
      </c>
    </row>
    <row r="1035" spans="1:27" x14ac:dyDescent="0.3">
      <c r="A1035" s="2">
        <v>45596</v>
      </c>
      <c r="B1035" t="s">
        <v>39</v>
      </c>
      <c r="C1035" t="s">
        <v>81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65</v>
      </c>
      <c r="L1035" t="s">
        <v>41</v>
      </c>
      <c r="M1035">
        <v>1</v>
      </c>
      <c r="N1035" t="s">
        <v>2061</v>
      </c>
      <c r="O1035" t="s">
        <v>895</v>
      </c>
      <c r="P1035">
        <v>39.64</v>
      </c>
      <c r="Q1035" s="2">
        <v>45596</v>
      </c>
      <c r="R1035" s="2">
        <v>45598</v>
      </c>
      <c r="S1035" t="s">
        <v>44</v>
      </c>
      <c r="T1035">
        <f t="shared" si="112"/>
        <v>1877.2560000000001</v>
      </c>
      <c r="U1035">
        <f t="shared" si="113"/>
        <v>5</v>
      </c>
      <c r="V1035">
        <f t="shared" si="114"/>
        <v>1933.28</v>
      </c>
      <c r="W1035">
        <f t="shared" si="115"/>
        <v>96.663999999999987</v>
      </c>
      <c r="X1035">
        <f t="shared" si="116"/>
        <v>2</v>
      </c>
      <c r="Y1035" cm="1">
        <f t="array" ref="Y1035">_xlfn.IFS(H1035=0.1,1,H1035=0.15,1,H1035=0.05,1,H1035=0,0)</f>
        <v>1</v>
      </c>
      <c r="Z1035">
        <f t="shared" si="117"/>
        <v>16</v>
      </c>
      <c r="AA1035">
        <f t="shared" si="118"/>
        <v>2024</v>
      </c>
    </row>
    <row r="1036" spans="1:27" x14ac:dyDescent="0.3">
      <c r="A1036" s="2">
        <v>45405</v>
      </c>
      <c r="B1036" t="s">
        <v>71</v>
      </c>
      <c r="C1036" t="s">
        <v>132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62</v>
      </c>
      <c r="L1036" t="s">
        <v>41</v>
      </c>
      <c r="M1036">
        <v>0</v>
      </c>
      <c r="N1036" t="s">
        <v>2062</v>
      </c>
      <c r="O1036" t="s">
        <v>2063</v>
      </c>
      <c r="P1036">
        <v>18.16</v>
      </c>
      <c r="Q1036" s="2">
        <v>45405</v>
      </c>
      <c r="R1036" s="2">
        <v>45411</v>
      </c>
      <c r="S1036" t="s">
        <v>74</v>
      </c>
      <c r="T1036">
        <f t="shared" si="112"/>
        <v>267.19900000000001</v>
      </c>
      <c r="U1036">
        <f t="shared" si="113"/>
        <v>10</v>
      </c>
      <c r="V1036">
        <f t="shared" si="114"/>
        <v>276.71000000000004</v>
      </c>
      <c r="W1036">
        <f t="shared" si="115"/>
        <v>27.671000000000049</v>
      </c>
      <c r="X1036">
        <f t="shared" si="116"/>
        <v>6</v>
      </c>
      <c r="Y1036" cm="1">
        <f t="array" ref="Y1036">_xlfn.IFS(H1036=0.1,1,H1036=0.15,1,H1036=0.05,1,H1036=0,0)</f>
        <v>1</v>
      </c>
      <c r="Z1036">
        <f t="shared" si="117"/>
        <v>7</v>
      </c>
      <c r="AA1036">
        <f t="shared" si="118"/>
        <v>2024</v>
      </c>
    </row>
    <row r="1037" spans="1:27" x14ac:dyDescent="0.3">
      <c r="A1037" s="2">
        <v>45091</v>
      </c>
      <c r="B1037" t="s">
        <v>29</v>
      </c>
      <c r="C1037" t="s">
        <v>81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2064</v>
      </c>
      <c r="O1037" t="s">
        <v>2065</v>
      </c>
      <c r="P1037">
        <v>47.35</v>
      </c>
      <c r="Q1037" s="2">
        <v>45091</v>
      </c>
      <c r="R1037" s="2">
        <v>45097</v>
      </c>
      <c r="S1037" t="s">
        <v>38</v>
      </c>
      <c r="T1037">
        <f t="shared" si="112"/>
        <v>473.10200000000003</v>
      </c>
      <c r="U1037">
        <f t="shared" si="113"/>
        <v>5</v>
      </c>
      <c r="V1037">
        <f t="shared" si="114"/>
        <v>448.16</v>
      </c>
      <c r="W1037">
        <f t="shared" si="115"/>
        <v>22.408000000000015</v>
      </c>
      <c r="X1037">
        <f t="shared" si="116"/>
        <v>6</v>
      </c>
      <c r="Y1037" cm="1">
        <f t="array" ref="Y1037">_xlfn.IFS(H1037=0.1,1,H1037=0.15,1,H1037=0.05,1,H1037=0,0)</f>
        <v>1</v>
      </c>
      <c r="Z1037">
        <f t="shared" si="117"/>
        <v>2</v>
      </c>
      <c r="AA1037">
        <f t="shared" si="118"/>
        <v>2023</v>
      </c>
    </row>
    <row r="1038" spans="1:27" x14ac:dyDescent="0.3">
      <c r="A1038" s="2">
        <v>45350</v>
      </c>
      <c r="B1038" t="s">
        <v>39</v>
      </c>
      <c r="C1038" t="s">
        <v>132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65</v>
      </c>
      <c r="L1038" t="s">
        <v>41</v>
      </c>
      <c r="M1038">
        <v>0</v>
      </c>
      <c r="N1038" t="s">
        <v>2066</v>
      </c>
      <c r="O1038" t="s">
        <v>2067</v>
      </c>
      <c r="P1038">
        <v>5.95</v>
      </c>
      <c r="Q1038" s="2">
        <v>45350</v>
      </c>
      <c r="R1038" s="2">
        <v>45353</v>
      </c>
      <c r="S1038" t="s">
        <v>44</v>
      </c>
      <c r="T1038">
        <f t="shared" si="112"/>
        <v>3998.6859999999997</v>
      </c>
      <c r="U1038">
        <f t="shared" si="113"/>
        <v>5</v>
      </c>
      <c r="V1038">
        <f t="shared" si="114"/>
        <v>4202.88</v>
      </c>
      <c r="W1038">
        <f t="shared" si="115"/>
        <v>210.14400000000023</v>
      </c>
      <c r="X1038">
        <f t="shared" si="116"/>
        <v>3</v>
      </c>
      <c r="Y1038" cm="1">
        <f t="array" ref="Y1038">_xlfn.IFS(H1038=0.1,1,H1038=0.15,1,H1038=0.05,1,H1038=0,0)</f>
        <v>1</v>
      </c>
      <c r="Z1038">
        <f t="shared" si="117"/>
        <v>11</v>
      </c>
      <c r="AA1038">
        <f t="shared" si="118"/>
        <v>2024</v>
      </c>
    </row>
    <row r="1039" spans="1:27" x14ac:dyDescent="0.3">
      <c r="A1039" s="2">
        <v>45462</v>
      </c>
      <c r="B1039" t="s">
        <v>29</v>
      </c>
      <c r="C1039" t="s">
        <v>132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756.58949999999993</v>
      </c>
      <c r="K1039" t="s">
        <v>24</v>
      </c>
      <c r="L1039" t="s">
        <v>59</v>
      </c>
      <c r="M1039">
        <v>0</v>
      </c>
      <c r="N1039" t="s">
        <v>2068</v>
      </c>
      <c r="O1039" t="s">
        <v>2069</v>
      </c>
      <c r="P1039">
        <v>35.6</v>
      </c>
      <c r="Q1039" s="2">
        <v>45462</v>
      </c>
      <c r="R1039" s="2">
        <v>45469</v>
      </c>
      <c r="S1039" t="s">
        <v>38</v>
      </c>
      <c r="T1039">
        <f t="shared" si="112"/>
        <v>792.18949999999995</v>
      </c>
      <c r="U1039">
        <f t="shared" si="113"/>
        <v>5</v>
      </c>
      <c r="V1039">
        <f t="shared" si="114"/>
        <v>796.41</v>
      </c>
      <c r="W1039">
        <f t="shared" si="115"/>
        <v>39.820500000000038</v>
      </c>
      <c r="X1039">
        <f t="shared" si="116"/>
        <v>7</v>
      </c>
      <c r="Y1039" cm="1">
        <f t="array" ref="Y1039">_xlfn.IFS(H1039=0.1,1,H1039=0.15,1,H1039=0.05,1,H1039=0,0)</f>
        <v>1</v>
      </c>
      <c r="Z1039">
        <f t="shared" si="117"/>
        <v>9</v>
      </c>
      <c r="AA1039">
        <f t="shared" si="118"/>
        <v>2024</v>
      </c>
    </row>
    <row r="1040" spans="1:27" x14ac:dyDescent="0.3">
      <c r="A1040" s="2">
        <v>45003</v>
      </c>
      <c r="B1040" t="s">
        <v>45</v>
      </c>
      <c r="C1040" t="s">
        <v>81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2070</v>
      </c>
      <c r="O1040" t="s">
        <v>2071</v>
      </c>
      <c r="P1040">
        <v>30.22</v>
      </c>
      <c r="Q1040" s="2">
        <v>45003</v>
      </c>
      <c r="R1040" s="2">
        <v>45005</v>
      </c>
      <c r="S1040" t="s">
        <v>50</v>
      </c>
      <c r="T1040">
        <f t="shared" si="112"/>
        <v>2673.12</v>
      </c>
      <c r="U1040">
        <f t="shared" si="113"/>
        <v>5</v>
      </c>
      <c r="V1040">
        <f t="shared" si="114"/>
        <v>2782</v>
      </c>
      <c r="W1040">
        <f t="shared" si="115"/>
        <v>139.09999999999991</v>
      </c>
      <c r="X1040">
        <f t="shared" si="116"/>
        <v>2</v>
      </c>
      <c r="Y1040" cm="1">
        <f t="array" ref="Y1040">_xlfn.IFS(H1040=0.1,1,H1040=0.15,1,H1040=0.05,1,H1040=0,0)</f>
        <v>1</v>
      </c>
      <c r="Z1040">
        <f t="shared" si="117"/>
        <v>20</v>
      </c>
      <c r="AA1040">
        <f t="shared" si="118"/>
        <v>2023</v>
      </c>
    </row>
    <row r="1041" spans="1:27" x14ac:dyDescent="0.3">
      <c r="A1041" s="2">
        <v>45006</v>
      </c>
      <c r="B1041" t="s">
        <v>71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62</v>
      </c>
      <c r="L1041" t="s">
        <v>41</v>
      </c>
      <c r="M1041">
        <v>0</v>
      </c>
      <c r="N1041" t="s">
        <v>2072</v>
      </c>
      <c r="O1041" t="s">
        <v>2073</v>
      </c>
      <c r="P1041">
        <v>30.06</v>
      </c>
      <c r="Q1041" s="2">
        <v>45006</v>
      </c>
      <c r="R1041" s="2">
        <v>45016</v>
      </c>
      <c r="S1041" t="s">
        <v>74</v>
      </c>
      <c r="T1041">
        <f t="shared" si="112"/>
        <v>5542.2450000000008</v>
      </c>
      <c r="U1041">
        <f t="shared" si="113"/>
        <v>10</v>
      </c>
      <c r="V1041">
        <f t="shared" si="114"/>
        <v>6124.6500000000005</v>
      </c>
      <c r="W1041">
        <f t="shared" si="115"/>
        <v>612.46500000000015</v>
      </c>
      <c r="X1041">
        <f t="shared" si="116"/>
        <v>10</v>
      </c>
      <c r="Y1041" cm="1">
        <f t="array" ref="Y1041">_xlfn.IFS(H1041=0.1,1,H1041=0.15,1,H1041=0.05,1,H1041=0,0)</f>
        <v>1</v>
      </c>
      <c r="Z1041">
        <f t="shared" si="117"/>
        <v>19</v>
      </c>
      <c r="AA1041">
        <f t="shared" si="118"/>
        <v>2023</v>
      </c>
    </row>
    <row r="1042" spans="1:27" x14ac:dyDescent="0.3">
      <c r="A1042" s="2">
        <v>45440</v>
      </c>
      <c r="B1042" t="s">
        <v>19</v>
      </c>
      <c r="C1042" t="s">
        <v>132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4817.5200000000004</v>
      </c>
      <c r="K1042" t="s">
        <v>58</v>
      </c>
      <c r="L1042" t="s">
        <v>35</v>
      </c>
      <c r="M1042">
        <v>0</v>
      </c>
      <c r="N1042" t="s">
        <v>2074</v>
      </c>
      <c r="O1042" t="s">
        <v>2075</v>
      </c>
      <c r="P1042">
        <v>37.42</v>
      </c>
      <c r="Q1042" s="2">
        <v>45440</v>
      </c>
      <c r="R1042" s="2">
        <v>45444</v>
      </c>
      <c r="S1042" t="s">
        <v>28</v>
      </c>
      <c r="T1042">
        <f t="shared" si="112"/>
        <v>4854.9400000000005</v>
      </c>
      <c r="U1042">
        <f t="shared" si="113"/>
        <v>10</v>
      </c>
      <c r="V1042">
        <f t="shared" si="114"/>
        <v>5352.8</v>
      </c>
      <c r="W1042">
        <f t="shared" si="115"/>
        <v>535.27999999999975</v>
      </c>
      <c r="X1042">
        <f t="shared" si="116"/>
        <v>4</v>
      </c>
      <c r="Y1042" cm="1">
        <f t="array" ref="Y1042">_xlfn.IFS(H1042=0.1,1,H1042=0.15,1,H1042=0.05,1,H1042=0,0)</f>
        <v>1</v>
      </c>
      <c r="Z1042">
        <f t="shared" si="117"/>
        <v>16</v>
      </c>
      <c r="AA1042">
        <f t="shared" si="118"/>
        <v>2024</v>
      </c>
    </row>
    <row r="1043" spans="1:27" x14ac:dyDescent="0.3">
      <c r="A1043" s="2">
        <v>45012</v>
      </c>
      <c r="B1043" t="s">
        <v>71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2076</v>
      </c>
      <c r="O1043" t="s">
        <v>2077</v>
      </c>
      <c r="P1043">
        <v>7.79</v>
      </c>
      <c r="Q1043" s="2">
        <v>45012</v>
      </c>
      <c r="R1043" s="2">
        <v>45015</v>
      </c>
      <c r="S1043" t="s">
        <v>74</v>
      </c>
      <c r="T1043">
        <f t="shared" si="112"/>
        <v>6658.39</v>
      </c>
      <c r="U1043">
        <f t="shared" si="113"/>
        <v>0</v>
      </c>
      <c r="V1043">
        <f t="shared" si="114"/>
        <v>6649.6</v>
      </c>
      <c r="W1043">
        <f t="shared" si="115"/>
        <v>0</v>
      </c>
      <c r="X1043">
        <f t="shared" si="116"/>
        <v>3</v>
      </c>
      <c r="Y1043" cm="1">
        <f t="array" ref="Y1043">_xlfn.IFS(H1043=0.1,1,H1043=0.15,1,H1043=0.05,1,H1043=0,0)</f>
        <v>0</v>
      </c>
      <c r="Z1043">
        <f t="shared" si="117"/>
        <v>0</v>
      </c>
      <c r="AA1043">
        <f t="shared" si="118"/>
        <v>2023</v>
      </c>
    </row>
    <row r="1044" spans="1:27" x14ac:dyDescent="0.3">
      <c r="A1044" s="2">
        <v>45096</v>
      </c>
      <c r="B1044" t="s">
        <v>45</v>
      </c>
      <c r="C1044" t="s">
        <v>132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65</v>
      </c>
      <c r="L1044" t="s">
        <v>59</v>
      </c>
      <c r="M1044">
        <v>1</v>
      </c>
      <c r="N1044" t="s">
        <v>2078</v>
      </c>
      <c r="O1044" t="s">
        <v>2079</v>
      </c>
      <c r="P1044">
        <v>12.63</v>
      </c>
      <c r="Q1044" s="2">
        <v>45096</v>
      </c>
      <c r="R1044" s="2">
        <v>45102</v>
      </c>
      <c r="S1044" t="s">
        <v>50</v>
      </c>
      <c r="T1044">
        <f t="shared" si="112"/>
        <v>137.03</v>
      </c>
      <c r="U1044">
        <f t="shared" si="113"/>
        <v>0</v>
      </c>
      <c r="V1044">
        <f t="shared" si="114"/>
        <v>123.4</v>
      </c>
      <c r="W1044">
        <f t="shared" si="115"/>
        <v>0</v>
      </c>
      <c r="X1044">
        <f t="shared" si="116"/>
        <v>6</v>
      </c>
      <c r="Y1044" cm="1">
        <f t="array" ref="Y1044">_xlfn.IFS(H1044=0.1,1,H1044=0.15,1,H1044=0.05,1,H1044=0,0)</f>
        <v>0</v>
      </c>
      <c r="Z1044">
        <f t="shared" si="117"/>
        <v>0</v>
      </c>
      <c r="AA1044">
        <f t="shared" si="118"/>
        <v>2023</v>
      </c>
    </row>
    <row r="1045" spans="1:27" x14ac:dyDescent="0.3">
      <c r="A1045" s="2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68</v>
      </c>
      <c r="J1045">
        <v>251.541</v>
      </c>
      <c r="K1045" t="s">
        <v>62</v>
      </c>
      <c r="L1045" t="s">
        <v>25</v>
      </c>
      <c r="M1045">
        <v>0</v>
      </c>
      <c r="N1045" t="s">
        <v>2080</v>
      </c>
      <c r="O1045" t="s">
        <v>2081</v>
      </c>
      <c r="P1045">
        <v>46.45</v>
      </c>
      <c r="Q1045" s="2">
        <v>45230</v>
      </c>
      <c r="R1045" s="2">
        <v>45237</v>
      </c>
      <c r="S1045" t="s">
        <v>38</v>
      </c>
      <c r="T1045">
        <f t="shared" si="112"/>
        <v>297.99099999999999</v>
      </c>
      <c r="U1045">
        <f t="shared" si="113"/>
        <v>5</v>
      </c>
      <c r="V1045">
        <f t="shared" si="114"/>
        <v>264.78000000000003</v>
      </c>
      <c r="W1045">
        <f t="shared" si="115"/>
        <v>13.239000000000033</v>
      </c>
      <c r="X1045">
        <f t="shared" si="116"/>
        <v>7</v>
      </c>
      <c r="Y1045" cm="1">
        <f t="array" ref="Y1045">_xlfn.IFS(H1045=0.1,1,H1045=0.15,1,H1045=0.05,1,H1045=0,0)</f>
        <v>1</v>
      </c>
      <c r="Z1045">
        <f t="shared" si="117"/>
        <v>3</v>
      </c>
      <c r="AA1045">
        <f t="shared" si="118"/>
        <v>2023</v>
      </c>
    </row>
    <row r="1046" spans="1:27" x14ac:dyDescent="0.3">
      <c r="A1046" s="2">
        <v>45118</v>
      </c>
      <c r="B1046" t="s">
        <v>71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62</v>
      </c>
      <c r="L1046" t="s">
        <v>41</v>
      </c>
      <c r="M1046">
        <v>0</v>
      </c>
      <c r="N1046" t="s">
        <v>2082</v>
      </c>
      <c r="O1046" t="s">
        <v>2083</v>
      </c>
      <c r="P1046">
        <v>40.57</v>
      </c>
      <c r="Q1046" s="2">
        <v>45118</v>
      </c>
      <c r="R1046" s="2">
        <v>45125</v>
      </c>
      <c r="S1046" t="s">
        <v>74</v>
      </c>
      <c r="T1046">
        <f t="shared" si="112"/>
        <v>631.53700000000003</v>
      </c>
      <c r="U1046">
        <f t="shared" si="113"/>
        <v>10</v>
      </c>
      <c r="V1046">
        <f t="shared" si="114"/>
        <v>656.63</v>
      </c>
      <c r="W1046">
        <f t="shared" si="115"/>
        <v>65.663000000000011</v>
      </c>
      <c r="X1046">
        <f t="shared" si="116"/>
        <v>7</v>
      </c>
      <c r="Y1046" cm="1">
        <f t="array" ref="Y1046">_xlfn.IFS(H1046=0.1,1,H1046=0.15,1,H1046=0.05,1,H1046=0,0)</f>
        <v>1</v>
      </c>
      <c r="Z1046">
        <f t="shared" si="117"/>
        <v>13</v>
      </c>
      <c r="AA1046">
        <f t="shared" si="118"/>
        <v>2023</v>
      </c>
    </row>
    <row r="1047" spans="1:27" x14ac:dyDescent="0.3">
      <c r="A1047" s="2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68</v>
      </c>
      <c r="J1047">
        <v>2486.9955</v>
      </c>
      <c r="K1047" t="s">
        <v>62</v>
      </c>
      <c r="L1047" t="s">
        <v>25</v>
      </c>
      <c r="M1047">
        <v>0</v>
      </c>
      <c r="N1047" t="s">
        <v>2084</v>
      </c>
      <c r="O1047" t="s">
        <v>2085</v>
      </c>
      <c r="P1047">
        <v>44.7</v>
      </c>
      <c r="Q1047" s="2">
        <v>45065</v>
      </c>
      <c r="R1047" s="2">
        <v>45074</v>
      </c>
      <c r="S1047" t="s">
        <v>38</v>
      </c>
      <c r="T1047">
        <f t="shared" si="112"/>
        <v>2531.6954999999998</v>
      </c>
      <c r="U1047">
        <f t="shared" si="113"/>
        <v>5</v>
      </c>
      <c r="V1047">
        <f t="shared" si="114"/>
        <v>2617.8900000000003</v>
      </c>
      <c r="W1047">
        <f t="shared" si="115"/>
        <v>130.89450000000033</v>
      </c>
      <c r="X1047">
        <f t="shared" si="116"/>
        <v>9</v>
      </c>
      <c r="Y1047" cm="1">
        <f t="array" ref="Y1047">_xlfn.IFS(H1047=0.1,1,H1047=0.15,1,H1047=0.05,1,H1047=0,0)</f>
        <v>1</v>
      </c>
      <c r="Z1047">
        <f t="shared" si="117"/>
        <v>11</v>
      </c>
      <c r="AA1047">
        <f t="shared" si="118"/>
        <v>2023</v>
      </c>
    </row>
    <row r="1048" spans="1:27" x14ac:dyDescent="0.3">
      <c r="A1048" s="2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2086</v>
      </c>
      <c r="O1048" t="s">
        <v>2087</v>
      </c>
      <c r="P1048">
        <v>15.78</v>
      </c>
      <c r="Q1048" s="2">
        <v>45143</v>
      </c>
      <c r="R1048" s="2">
        <v>45148</v>
      </c>
      <c r="S1048" t="s">
        <v>44</v>
      </c>
      <c r="T1048">
        <f t="shared" si="112"/>
        <v>2080.4300000000003</v>
      </c>
      <c r="U1048">
        <f t="shared" si="113"/>
        <v>0</v>
      </c>
      <c r="V1048">
        <f t="shared" si="114"/>
        <v>2064.65</v>
      </c>
      <c r="W1048">
        <f t="shared" si="115"/>
        <v>0</v>
      </c>
      <c r="X1048">
        <f t="shared" si="116"/>
        <v>5</v>
      </c>
      <c r="Y1048" cm="1">
        <f t="array" ref="Y1048">_xlfn.IFS(H1048=0.1,1,H1048=0.15,1,H1048=0.05,1,H1048=0,0)</f>
        <v>0</v>
      </c>
      <c r="Z1048">
        <f t="shared" si="117"/>
        <v>0</v>
      </c>
      <c r="AA1048">
        <f t="shared" si="118"/>
        <v>2023</v>
      </c>
    </row>
    <row r="1049" spans="1:27" x14ac:dyDescent="0.3">
      <c r="A1049" s="2">
        <v>45009</v>
      </c>
      <c r="B1049" t="s">
        <v>71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2088</v>
      </c>
      <c r="O1049" t="s">
        <v>302</v>
      </c>
      <c r="P1049">
        <v>48.83</v>
      </c>
      <c r="Q1049" s="2">
        <v>45009</v>
      </c>
      <c r="R1049" s="2">
        <v>45019</v>
      </c>
      <c r="S1049" t="s">
        <v>74</v>
      </c>
      <c r="T1049">
        <f t="shared" si="112"/>
        <v>2815.79</v>
      </c>
      <c r="U1049">
        <f t="shared" si="113"/>
        <v>10</v>
      </c>
      <c r="V1049">
        <f t="shared" si="114"/>
        <v>3074.4</v>
      </c>
      <c r="W1049">
        <f t="shared" si="115"/>
        <v>307.44000000000005</v>
      </c>
      <c r="X1049">
        <f t="shared" si="116"/>
        <v>10</v>
      </c>
      <c r="Y1049" cm="1">
        <f t="array" ref="Y1049">_xlfn.IFS(H1049=0.1,1,H1049=0.15,1,H1049=0.05,1,H1049=0,0)</f>
        <v>1</v>
      </c>
      <c r="Z1049">
        <f t="shared" si="117"/>
        <v>8</v>
      </c>
      <c r="AA1049">
        <f t="shared" si="118"/>
        <v>2023</v>
      </c>
    </row>
    <row r="1050" spans="1:27" x14ac:dyDescent="0.3">
      <c r="A1050" s="2">
        <v>45702</v>
      </c>
      <c r="B1050" t="s">
        <v>71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65</v>
      </c>
      <c r="L1050" t="s">
        <v>25</v>
      </c>
      <c r="M1050">
        <v>0</v>
      </c>
      <c r="N1050" t="s">
        <v>2089</v>
      </c>
      <c r="O1050" t="s">
        <v>1038</v>
      </c>
      <c r="P1050">
        <v>20.97</v>
      </c>
      <c r="Q1050" s="2">
        <v>45702</v>
      </c>
      <c r="R1050" s="2">
        <v>45705</v>
      </c>
      <c r="S1050" t="s">
        <v>74</v>
      </c>
      <c r="T1050">
        <f t="shared" si="112"/>
        <v>380.40250000000003</v>
      </c>
      <c r="U1050">
        <f t="shared" si="113"/>
        <v>5</v>
      </c>
      <c r="V1050">
        <f t="shared" si="114"/>
        <v>378.35</v>
      </c>
      <c r="W1050">
        <f t="shared" si="115"/>
        <v>18.917500000000018</v>
      </c>
      <c r="X1050">
        <f t="shared" si="116"/>
        <v>3</v>
      </c>
      <c r="Y1050" cm="1">
        <f t="array" ref="Y1050">_xlfn.IFS(H1050=0.1,1,H1050=0.15,1,H1050=0.05,1,H1050=0,0)</f>
        <v>1</v>
      </c>
      <c r="Z1050">
        <f t="shared" si="117"/>
        <v>1</v>
      </c>
      <c r="AA1050">
        <f t="shared" si="118"/>
        <v>2025</v>
      </c>
    </row>
    <row r="1051" spans="1:27" x14ac:dyDescent="0.3">
      <c r="A1051" s="2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68</v>
      </c>
      <c r="J1051">
        <v>461.35</v>
      </c>
      <c r="K1051" t="s">
        <v>62</v>
      </c>
      <c r="L1051" t="s">
        <v>25</v>
      </c>
      <c r="M1051">
        <v>1</v>
      </c>
      <c r="N1051" t="s">
        <v>2090</v>
      </c>
      <c r="O1051" t="s">
        <v>2091</v>
      </c>
      <c r="P1051">
        <v>43.74</v>
      </c>
      <c r="Q1051" s="2">
        <v>45640</v>
      </c>
      <c r="R1051" s="2">
        <v>45642</v>
      </c>
      <c r="S1051" t="s">
        <v>44</v>
      </c>
      <c r="T1051">
        <f t="shared" si="112"/>
        <v>506.09000000000003</v>
      </c>
      <c r="U1051">
        <f t="shared" si="113"/>
        <v>0</v>
      </c>
      <c r="V1051">
        <f t="shared" si="114"/>
        <v>461.35</v>
      </c>
      <c r="W1051">
        <f t="shared" si="115"/>
        <v>0</v>
      </c>
      <c r="X1051">
        <f t="shared" si="116"/>
        <v>2</v>
      </c>
      <c r="Y1051" cm="1">
        <f t="array" ref="Y1051">_xlfn.IFS(H1051=0.1,1,H1051=0.15,1,H1051=0.05,1,H1051=0,0)</f>
        <v>0</v>
      </c>
      <c r="Z1051">
        <f t="shared" si="117"/>
        <v>0</v>
      </c>
      <c r="AA1051">
        <f t="shared" si="118"/>
        <v>2024</v>
      </c>
    </row>
    <row r="1052" spans="1:27" x14ac:dyDescent="0.3">
      <c r="A1052" s="2">
        <v>45105</v>
      </c>
      <c r="B1052" t="s">
        <v>29</v>
      </c>
      <c r="C1052" t="s">
        <v>132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68</v>
      </c>
      <c r="J1052">
        <v>7098</v>
      </c>
      <c r="K1052" t="s">
        <v>34</v>
      </c>
      <c r="L1052" t="s">
        <v>41</v>
      </c>
      <c r="M1052">
        <v>0</v>
      </c>
      <c r="N1052" t="s">
        <v>2092</v>
      </c>
      <c r="O1052" t="s">
        <v>2093</v>
      </c>
      <c r="P1052">
        <v>43.24</v>
      </c>
      <c r="Q1052" s="2">
        <v>45105</v>
      </c>
      <c r="R1052" s="2">
        <v>45108</v>
      </c>
      <c r="S1052" t="s">
        <v>38</v>
      </c>
      <c r="T1052">
        <f t="shared" si="112"/>
        <v>7141.24</v>
      </c>
      <c r="U1052">
        <f t="shared" si="113"/>
        <v>0</v>
      </c>
      <c r="V1052">
        <f t="shared" si="114"/>
        <v>7098</v>
      </c>
      <c r="W1052">
        <f t="shared" si="115"/>
        <v>0</v>
      </c>
      <c r="X1052">
        <f t="shared" si="116"/>
        <v>3</v>
      </c>
      <c r="Y1052" cm="1">
        <f t="array" ref="Y1052">_xlfn.IFS(H1052=0.1,1,H1052=0.15,1,H1052=0.05,1,H1052=0,0)</f>
        <v>0</v>
      </c>
      <c r="Z1052">
        <f t="shared" si="117"/>
        <v>0</v>
      </c>
      <c r="AA1052">
        <f t="shared" si="118"/>
        <v>2023</v>
      </c>
    </row>
    <row r="1053" spans="1:27" x14ac:dyDescent="0.3">
      <c r="A1053" s="2">
        <v>44950</v>
      </c>
      <c r="B1053" t="s">
        <v>71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62</v>
      </c>
      <c r="L1053" t="s">
        <v>35</v>
      </c>
      <c r="M1053">
        <v>1</v>
      </c>
      <c r="N1053" t="s">
        <v>2094</v>
      </c>
      <c r="O1053" t="s">
        <v>2095</v>
      </c>
      <c r="P1053">
        <v>47.77</v>
      </c>
      <c r="Q1053" s="2">
        <v>44950</v>
      </c>
      <c r="R1053" s="2">
        <v>44954</v>
      </c>
      <c r="S1053" t="s">
        <v>74</v>
      </c>
      <c r="T1053">
        <f t="shared" si="112"/>
        <v>2810.7530000000002</v>
      </c>
      <c r="U1053">
        <f t="shared" si="113"/>
        <v>10</v>
      </c>
      <c r="V1053">
        <f t="shared" si="114"/>
        <v>3068.8700000000003</v>
      </c>
      <c r="W1053">
        <f t="shared" si="115"/>
        <v>306.88700000000017</v>
      </c>
      <c r="X1053">
        <f t="shared" si="116"/>
        <v>4</v>
      </c>
      <c r="Y1053" cm="1">
        <f t="array" ref="Y1053">_xlfn.IFS(H1053=0.1,1,H1053=0.15,1,H1053=0.05,1,H1053=0,0)</f>
        <v>1</v>
      </c>
      <c r="Z1053">
        <f t="shared" si="117"/>
        <v>7</v>
      </c>
      <c r="AA1053">
        <f t="shared" si="118"/>
        <v>2023</v>
      </c>
    </row>
    <row r="1054" spans="1:27" x14ac:dyDescent="0.3">
      <c r="A1054" s="2">
        <v>45464</v>
      </c>
      <c r="B1054" t="s">
        <v>45</v>
      </c>
      <c r="C1054" t="s">
        <v>81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62</v>
      </c>
      <c r="L1054" t="s">
        <v>59</v>
      </c>
      <c r="M1054">
        <v>0</v>
      </c>
      <c r="N1054" t="s">
        <v>2096</v>
      </c>
      <c r="O1054" t="s">
        <v>935</v>
      </c>
      <c r="P1054">
        <v>44.76</v>
      </c>
      <c r="Q1054" s="2">
        <v>45464</v>
      </c>
      <c r="R1054" s="2">
        <v>45473</v>
      </c>
      <c r="S1054" t="s">
        <v>50</v>
      </c>
      <c r="T1054">
        <f t="shared" si="112"/>
        <v>7261.34</v>
      </c>
      <c r="U1054">
        <f t="shared" si="113"/>
        <v>5</v>
      </c>
      <c r="V1054">
        <f t="shared" si="114"/>
        <v>7596.4000000000005</v>
      </c>
      <c r="W1054">
        <f t="shared" si="115"/>
        <v>379.82000000000062</v>
      </c>
      <c r="X1054">
        <f t="shared" si="116"/>
        <v>9</v>
      </c>
      <c r="Y1054" cm="1">
        <f t="array" ref="Y1054">_xlfn.IFS(H1054=0.1,1,H1054=0.15,1,H1054=0.05,1,H1054=0,0)</f>
        <v>1</v>
      </c>
      <c r="Z1054">
        <f t="shared" si="117"/>
        <v>14</v>
      </c>
      <c r="AA1054">
        <f t="shared" si="118"/>
        <v>2024</v>
      </c>
    </row>
    <row r="1055" spans="1:27" x14ac:dyDescent="0.3">
      <c r="A1055" s="2">
        <v>45756</v>
      </c>
      <c r="B1055" t="s">
        <v>39</v>
      </c>
      <c r="C1055" t="s">
        <v>132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68</v>
      </c>
      <c r="J1055">
        <v>644.81400000000008</v>
      </c>
      <c r="K1055" t="s">
        <v>34</v>
      </c>
      <c r="L1055" t="s">
        <v>41</v>
      </c>
      <c r="M1055">
        <v>0</v>
      </c>
      <c r="N1055" t="s">
        <v>2097</v>
      </c>
      <c r="O1055" t="s">
        <v>2098</v>
      </c>
      <c r="P1055">
        <v>37.07</v>
      </c>
      <c r="Q1055" s="2">
        <v>45756</v>
      </c>
      <c r="R1055" s="2">
        <v>45765</v>
      </c>
      <c r="S1055" t="s">
        <v>44</v>
      </c>
      <c r="T1055">
        <f t="shared" si="112"/>
        <v>681.88400000000013</v>
      </c>
      <c r="U1055">
        <f t="shared" si="113"/>
        <v>10</v>
      </c>
      <c r="V1055">
        <f t="shared" si="114"/>
        <v>716.46</v>
      </c>
      <c r="W1055">
        <f t="shared" si="115"/>
        <v>71.645999999999958</v>
      </c>
      <c r="X1055">
        <f t="shared" si="116"/>
        <v>9</v>
      </c>
      <c r="Y1055" cm="1">
        <f t="array" ref="Y1055">_xlfn.IFS(H1055=0.1,1,H1055=0.15,1,H1055=0.05,1,H1055=0,0)</f>
        <v>1</v>
      </c>
      <c r="Z1055">
        <f t="shared" si="117"/>
        <v>3</v>
      </c>
      <c r="AA1055">
        <f t="shared" si="118"/>
        <v>2025</v>
      </c>
    </row>
    <row r="1056" spans="1:27" x14ac:dyDescent="0.3">
      <c r="A1056" s="2">
        <v>45668</v>
      </c>
      <c r="B1056" t="s">
        <v>39</v>
      </c>
      <c r="C1056" t="s">
        <v>81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2099</v>
      </c>
      <c r="O1056" t="s">
        <v>2100</v>
      </c>
      <c r="P1056">
        <v>34.97</v>
      </c>
      <c r="Q1056" s="2">
        <v>45668</v>
      </c>
      <c r="R1056" s="2">
        <v>45676</v>
      </c>
      <c r="S1056" t="s">
        <v>44</v>
      </c>
      <c r="T1056">
        <f t="shared" si="112"/>
        <v>4819.5060000000003</v>
      </c>
      <c r="U1056">
        <f t="shared" si="113"/>
        <v>10</v>
      </c>
      <c r="V1056">
        <f t="shared" si="114"/>
        <v>5315.04</v>
      </c>
      <c r="W1056">
        <f t="shared" si="115"/>
        <v>531.50399999999991</v>
      </c>
      <c r="X1056">
        <f t="shared" si="116"/>
        <v>8</v>
      </c>
      <c r="Y1056" cm="1">
        <f t="array" ref="Y1056">_xlfn.IFS(H1056=0.1,1,H1056=0.15,1,H1056=0.05,1,H1056=0,0)</f>
        <v>1</v>
      </c>
      <c r="Z1056">
        <f t="shared" si="117"/>
        <v>16</v>
      </c>
      <c r="AA1056">
        <f t="shared" si="118"/>
        <v>2025</v>
      </c>
    </row>
    <row r="1057" spans="1:27" x14ac:dyDescent="0.3">
      <c r="A1057" s="2">
        <v>45486</v>
      </c>
      <c r="B1057" t="s">
        <v>45</v>
      </c>
      <c r="C1057" t="s">
        <v>132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62</v>
      </c>
      <c r="L1057" t="s">
        <v>59</v>
      </c>
      <c r="M1057">
        <v>0</v>
      </c>
      <c r="N1057" t="s">
        <v>2101</v>
      </c>
      <c r="O1057" t="s">
        <v>2102</v>
      </c>
      <c r="P1057">
        <v>32.86</v>
      </c>
      <c r="Q1057" s="2">
        <v>45486</v>
      </c>
      <c r="R1057" s="2">
        <v>45493</v>
      </c>
      <c r="S1057" t="s">
        <v>50</v>
      </c>
      <c r="T1057">
        <f t="shared" si="112"/>
        <v>3919.69</v>
      </c>
      <c r="U1057">
        <f t="shared" si="113"/>
        <v>5</v>
      </c>
      <c r="V1057">
        <f t="shared" si="114"/>
        <v>4091.4</v>
      </c>
      <c r="W1057">
        <f t="shared" si="115"/>
        <v>204.57000000000016</v>
      </c>
      <c r="X1057">
        <f t="shared" si="116"/>
        <v>7</v>
      </c>
      <c r="Y1057" cm="1">
        <f t="array" ref="Y1057">_xlfn.IFS(H1057=0.1,1,H1057=0.15,1,H1057=0.05,1,H1057=0,0)</f>
        <v>1</v>
      </c>
      <c r="Z1057">
        <f t="shared" si="117"/>
        <v>9</v>
      </c>
      <c r="AA1057">
        <f t="shared" si="118"/>
        <v>2024</v>
      </c>
    </row>
    <row r="1058" spans="1:27" x14ac:dyDescent="0.3">
      <c r="A1058" s="2">
        <v>45661</v>
      </c>
      <c r="B1058" t="s">
        <v>71</v>
      </c>
      <c r="C1058" t="s">
        <v>132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62</v>
      </c>
      <c r="L1058" t="s">
        <v>35</v>
      </c>
      <c r="M1058">
        <v>0</v>
      </c>
      <c r="N1058" t="s">
        <v>2103</v>
      </c>
      <c r="O1058" t="s">
        <v>2104</v>
      </c>
      <c r="P1058">
        <v>19.77</v>
      </c>
      <c r="Q1058" s="2">
        <v>45661</v>
      </c>
      <c r="R1058" s="2">
        <v>45667</v>
      </c>
      <c r="S1058" t="s">
        <v>74</v>
      </c>
      <c r="T1058">
        <f t="shared" si="112"/>
        <v>3100.848</v>
      </c>
      <c r="U1058">
        <f t="shared" si="113"/>
        <v>5</v>
      </c>
      <c r="V1058">
        <f t="shared" si="114"/>
        <v>3243.24</v>
      </c>
      <c r="W1058">
        <f t="shared" si="115"/>
        <v>162.16199999999981</v>
      </c>
      <c r="X1058">
        <f t="shared" si="116"/>
        <v>6</v>
      </c>
      <c r="Y1058" cm="1">
        <f t="array" ref="Y1058">_xlfn.IFS(H1058=0.1,1,H1058=0.15,1,H1058=0.05,1,H1058=0,0)</f>
        <v>1</v>
      </c>
      <c r="Z1058">
        <f t="shared" si="117"/>
        <v>6</v>
      </c>
      <c r="AA1058">
        <f t="shared" si="118"/>
        <v>2025</v>
      </c>
    </row>
    <row r="1059" spans="1:27" x14ac:dyDescent="0.3">
      <c r="A1059" s="2">
        <v>45224</v>
      </c>
      <c r="B1059" t="s">
        <v>71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62</v>
      </c>
      <c r="L1059" t="s">
        <v>41</v>
      </c>
      <c r="M1059">
        <v>1</v>
      </c>
      <c r="N1059" t="s">
        <v>2105</v>
      </c>
      <c r="O1059" t="s">
        <v>2106</v>
      </c>
      <c r="P1059">
        <v>45.75</v>
      </c>
      <c r="Q1059" s="2">
        <v>45224</v>
      </c>
      <c r="R1059" s="2">
        <v>45230</v>
      </c>
      <c r="S1059" t="s">
        <v>74</v>
      </c>
      <c r="T1059">
        <f t="shared" si="112"/>
        <v>1800.453</v>
      </c>
      <c r="U1059">
        <f t="shared" si="113"/>
        <v>15</v>
      </c>
      <c r="V1059">
        <f t="shared" si="114"/>
        <v>2063.1800000000003</v>
      </c>
      <c r="W1059">
        <f t="shared" si="115"/>
        <v>309.47700000000032</v>
      </c>
      <c r="X1059">
        <f t="shared" si="116"/>
        <v>6</v>
      </c>
      <c r="Y1059" cm="1">
        <f t="array" ref="Y1059">_xlfn.IFS(H1059=0.1,1,H1059=0.15,1,H1059=0.05,1,H1059=0,0)</f>
        <v>1</v>
      </c>
      <c r="Z1059">
        <f t="shared" si="117"/>
        <v>14</v>
      </c>
      <c r="AA1059">
        <f t="shared" si="118"/>
        <v>2023</v>
      </c>
    </row>
    <row r="1060" spans="1:27" x14ac:dyDescent="0.3">
      <c r="A1060" s="2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L1060" t="s">
        <v>59</v>
      </c>
      <c r="M1060">
        <v>0</v>
      </c>
      <c r="N1060" t="s">
        <v>2107</v>
      </c>
      <c r="O1060" t="s">
        <v>2108</v>
      </c>
      <c r="P1060">
        <v>44.49</v>
      </c>
      <c r="Q1060" s="2">
        <v>45199</v>
      </c>
      <c r="R1060" s="2">
        <v>45201</v>
      </c>
      <c r="S1060" t="s">
        <v>38</v>
      </c>
      <c r="T1060">
        <f t="shared" si="112"/>
        <v>2550.154</v>
      </c>
      <c r="U1060">
        <f t="shared" si="113"/>
        <v>15</v>
      </c>
      <c r="V1060">
        <f t="shared" si="114"/>
        <v>2947.84</v>
      </c>
      <c r="W1060">
        <f t="shared" si="115"/>
        <v>442.17599999999993</v>
      </c>
      <c r="X1060">
        <f t="shared" si="116"/>
        <v>2</v>
      </c>
      <c r="Y1060" cm="1">
        <f t="array" ref="Y1060">_xlfn.IFS(H1060=0.1,1,H1060=0.15,1,H1060=0.05,1,H1060=0,0)</f>
        <v>1</v>
      </c>
      <c r="Z1060">
        <f t="shared" si="117"/>
        <v>7</v>
      </c>
      <c r="AA1060">
        <f t="shared" si="118"/>
        <v>2023</v>
      </c>
    </row>
    <row r="1061" spans="1:27" x14ac:dyDescent="0.3">
      <c r="A1061" s="2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2109</v>
      </c>
      <c r="O1061" t="s">
        <v>2110</v>
      </c>
      <c r="P1061">
        <v>37.49</v>
      </c>
      <c r="Q1061" s="2">
        <v>45001</v>
      </c>
      <c r="R1061" s="2">
        <v>45011</v>
      </c>
      <c r="S1061" t="s">
        <v>44</v>
      </c>
      <c r="T1061">
        <f t="shared" si="112"/>
        <v>8764.89</v>
      </c>
      <c r="U1061">
        <f t="shared" si="113"/>
        <v>0</v>
      </c>
      <c r="V1061">
        <f t="shared" si="114"/>
        <v>8726.4</v>
      </c>
      <c r="W1061">
        <f t="shared" si="115"/>
        <v>0</v>
      </c>
      <c r="X1061">
        <f t="shared" si="116"/>
        <v>10</v>
      </c>
      <c r="Y1061" cm="1">
        <f t="array" ref="Y1061">_xlfn.IFS(H1061=0.1,1,H1061=0.15,1,H1061=0.05,1,H1061=0,0)</f>
        <v>0</v>
      </c>
      <c r="Z1061">
        <f t="shared" si="117"/>
        <v>0</v>
      </c>
      <c r="AA1061">
        <f t="shared" si="118"/>
        <v>2023</v>
      </c>
    </row>
    <row r="1062" spans="1:27" x14ac:dyDescent="0.3">
      <c r="A1062" s="2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68</v>
      </c>
      <c r="J1062">
        <v>7076.6459999999997</v>
      </c>
      <c r="K1062" t="s">
        <v>58</v>
      </c>
      <c r="L1062" t="s">
        <v>35</v>
      </c>
      <c r="M1062">
        <v>0</v>
      </c>
      <c r="N1062" t="s">
        <v>2111</v>
      </c>
      <c r="O1062" t="s">
        <v>1156</v>
      </c>
      <c r="P1062">
        <v>28.8</v>
      </c>
      <c r="Q1062" s="2">
        <v>45133</v>
      </c>
      <c r="R1062" s="2">
        <v>45140</v>
      </c>
      <c r="S1062" t="s">
        <v>44</v>
      </c>
      <c r="T1062">
        <f t="shared" si="112"/>
        <v>7105.4459999999999</v>
      </c>
      <c r="U1062">
        <f t="shared" si="113"/>
        <v>10</v>
      </c>
      <c r="V1062">
        <f t="shared" si="114"/>
        <v>7862.94</v>
      </c>
      <c r="W1062">
        <f t="shared" si="115"/>
        <v>786.29399999999987</v>
      </c>
      <c r="X1062">
        <f t="shared" si="116"/>
        <v>7</v>
      </c>
      <c r="Y1062" cm="1">
        <f t="array" ref="Y1062">_xlfn.IFS(H1062=0.1,1,H1062=0.15,1,H1062=0.05,1,H1062=0,0)</f>
        <v>1</v>
      </c>
      <c r="Z1062">
        <f t="shared" si="117"/>
        <v>18</v>
      </c>
      <c r="AA1062">
        <f t="shared" si="118"/>
        <v>2023</v>
      </c>
    </row>
    <row r="1063" spans="1:27" x14ac:dyDescent="0.3">
      <c r="A1063" s="2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622.38299999999992</v>
      </c>
      <c r="K1063" t="s">
        <v>62</v>
      </c>
      <c r="L1063" t="s">
        <v>59</v>
      </c>
      <c r="M1063">
        <v>0</v>
      </c>
      <c r="N1063" t="s">
        <v>2112</v>
      </c>
      <c r="O1063" t="s">
        <v>2113</v>
      </c>
      <c r="P1063">
        <v>19.489999999999998</v>
      </c>
      <c r="Q1063" s="2">
        <v>45117</v>
      </c>
      <c r="R1063" s="2">
        <v>45126</v>
      </c>
      <c r="S1063" t="s">
        <v>28</v>
      </c>
      <c r="T1063">
        <f t="shared" si="112"/>
        <v>641.87299999999993</v>
      </c>
      <c r="U1063">
        <f t="shared" si="113"/>
        <v>5</v>
      </c>
      <c r="V1063">
        <f t="shared" si="114"/>
        <v>655.14</v>
      </c>
      <c r="W1063">
        <f t="shared" si="115"/>
        <v>32.757000000000062</v>
      </c>
      <c r="X1063">
        <f t="shared" si="116"/>
        <v>9</v>
      </c>
      <c r="Y1063" cm="1">
        <f t="array" ref="Y1063">_xlfn.IFS(H1063=0.1,1,H1063=0.15,1,H1063=0.05,1,H1063=0,0)</f>
        <v>1</v>
      </c>
      <c r="Z1063">
        <f t="shared" si="117"/>
        <v>2</v>
      </c>
      <c r="AA1063">
        <f t="shared" si="118"/>
        <v>2023</v>
      </c>
    </row>
    <row r="1064" spans="1:27" x14ac:dyDescent="0.3">
      <c r="A1064" s="2">
        <v>45510</v>
      </c>
      <c r="B1064" t="s">
        <v>19</v>
      </c>
      <c r="C1064" t="s">
        <v>132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2114</v>
      </c>
      <c r="O1064" t="s">
        <v>2115</v>
      </c>
      <c r="P1064">
        <v>9.35</v>
      </c>
      <c r="Q1064" s="2">
        <v>45510</v>
      </c>
      <c r="R1064" s="2">
        <v>45520</v>
      </c>
      <c r="S1064" t="s">
        <v>28</v>
      </c>
      <c r="T1064">
        <f t="shared" si="112"/>
        <v>2863.6819999999998</v>
      </c>
      <c r="U1064">
        <f t="shared" si="113"/>
        <v>5</v>
      </c>
      <c r="V1064">
        <f t="shared" si="114"/>
        <v>3004.56</v>
      </c>
      <c r="W1064">
        <f t="shared" si="115"/>
        <v>150.22800000000007</v>
      </c>
      <c r="X1064">
        <f t="shared" si="116"/>
        <v>10</v>
      </c>
      <c r="Y1064" cm="1">
        <f t="array" ref="Y1064">_xlfn.IFS(H1064=0.1,1,H1064=0.15,1,H1064=0.05,1,H1064=0,0)</f>
        <v>1</v>
      </c>
      <c r="Z1064">
        <f t="shared" si="117"/>
        <v>18</v>
      </c>
      <c r="AA1064">
        <f t="shared" si="118"/>
        <v>2024</v>
      </c>
    </row>
    <row r="1065" spans="1:27" x14ac:dyDescent="0.3">
      <c r="A1065" s="2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L1065" t="s">
        <v>59</v>
      </c>
      <c r="M1065">
        <v>0</v>
      </c>
      <c r="N1065" t="s">
        <v>2116</v>
      </c>
      <c r="O1065" t="s">
        <v>2117</v>
      </c>
      <c r="P1065">
        <v>38.6</v>
      </c>
      <c r="Q1065" s="2">
        <v>45489</v>
      </c>
      <c r="R1065" s="2">
        <v>45492</v>
      </c>
      <c r="S1065" t="s">
        <v>50</v>
      </c>
      <c r="T1065">
        <f t="shared" si="112"/>
        <v>3823.3879999999999</v>
      </c>
      <c r="U1065">
        <f t="shared" si="113"/>
        <v>10</v>
      </c>
      <c r="V1065">
        <f t="shared" si="114"/>
        <v>4205.32</v>
      </c>
      <c r="W1065">
        <f t="shared" si="115"/>
        <v>420.5319999999997</v>
      </c>
      <c r="X1065">
        <f t="shared" si="116"/>
        <v>3</v>
      </c>
      <c r="Y1065" cm="1">
        <f t="array" ref="Y1065">_xlfn.IFS(H1065=0.1,1,H1065=0.15,1,H1065=0.05,1,H1065=0,0)</f>
        <v>1</v>
      </c>
      <c r="Z1065">
        <f t="shared" si="117"/>
        <v>14</v>
      </c>
      <c r="AA1065">
        <f t="shared" si="118"/>
        <v>2024</v>
      </c>
    </row>
    <row r="1066" spans="1:27" x14ac:dyDescent="0.3">
      <c r="A1066" s="2">
        <v>45322</v>
      </c>
      <c r="B1066" t="s">
        <v>39</v>
      </c>
      <c r="C1066" t="s">
        <v>132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L1066" t="s">
        <v>59</v>
      </c>
      <c r="M1066">
        <v>1</v>
      </c>
      <c r="N1066" t="s">
        <v>2118</v>
      </c>
      <c r="O1066" t="s">
        <v>2119</v>
      </c>
      <c r="P1066">
        <v>42.38</v>
      </c>
      <c r="Q1066" s="2">
        <v>45322</v>
      </c>
      <c r="R1066" s="2">
        <v>45331</v>
      </c>
      <c r="S1066" t="s">
        <v>44</v>
      </c>
      <c r="T1066">
        <f t="shared" si="112"/>
        <v>1204.8300000000002</v>
      </c>
      <c r="U1066">
        <f t="shared" si="113"/>
        <v>0</v>
      </c>
      <c r="V1066">
        <f t="shared" si="114"/>
        <v>1161.45</v>
      </c>
      <c r="W1066">
        <f t="shared" si="115"/>
        <v>0</v>
      </c>
      <c r="X1066">
        <f t="shared" si="116"/>
        <v>9</v>
      </c>
      <c r="Y1066" cm="1">
        <f t="array" ref="Y1066">_xlfn.IFS(H1066=0.1,1,H1066=0.15,1,H1066=0.05,1,H1066=0,0)</f>
        <v>0</v>
      </c>
      <c r="Z1066">
        <f t="shared" si="117"/>
        <v>0</v>
      </c>
      <c r="AA1066">
        <f t="shared" si="118"/>
        <v>2024</v>
      </c>
    </row>
    <row r="1067" spans="1:27" x14ac:dyDescent="0.3">
      <c r="A1067" s="2">
        <v>45038</v>
      </c>
      <c r="B1067" t="s">
        <v>45</v>
      </c>
      <c r="C1067" t="s">
        <v>81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68</v>
      </c>
      <c r="J1067">
        <v>173.44</v>
      </c>
      <c r="K1067" t="s">
        <v>34</v>
      </c>
      <c r="L1067" t="s">
        <v>25</v>
      </c>
      <c r="M1067">
        <v>0</v>
      </c>
      <c r="N1067" t="s">
        <v>2120</v>
      </c>
      <c r="O1067" t="s">
        <v>2121</v>
      </c>
      <c r="P1067">
        <v>32.83</v>
      </c>
      <c r="Q1067" s="2">
        <v>45038</v>
      </c>
      <c r="R1067" s="2">
        <v>45040</v>
      </c>
      <c r="S1067" t="s">
        <v>50</v>
      </c>
      <c r="T1067">
        <f t="shared" si="112"/>
        <v>206.26999999999998</v>
      </c>
      <c r="U1067">
        <f t="shared" si="113"/>
        <v>0</v>
      </c>
      <c r="V1067">
        <f t="shared" si="114"/>
        <v>173.44</v>
      </c>
      <c r="W1067">
        <f t="shared" si="115"/>
        <v>0</v>
      </c>
      <c r="X1067">
        <f t="shared" si="116"/>
        <v>2</v>
      </c>
      <c r="Y1067" cm="1">
        <f t="array" ref="Y1067">_xlfn.IFS(H1067=0.1,1,H1067=0.15,1,H1067=0.05,1,H1067=0,0)</f>
        <v>0</v>
      </c>
      <c r="Z1067">
        <f t="shared" si="117"/>
        <v>0</v>
      </c>
      <c r="AA1067">
        <f t="shared" si="118"/>
        <v>2023</v>
      </c>
    </row>
    <row r="1068" spans="1:27" x14ac:dyDescent="0.3">
      <c r="A1068" s="2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2122</v>
      </c>
      <c r="O1068" t="s">
        <v>2123</v>
      </c>
      <c r="P1068">
        <v>5.21</v>
      </c>
      <c r="Q1068" s="2">
        <v>45692</v>
      </c>
      <c r="R1068" s="2">
        <v>45695</v>
      </c>
      <c r="S1068" t="s">
        <v>28</v>
      </c>
      <c r="T1068">
        <f t="shared" si="112"/>
        <v>1965.681</v>
      </c>
      <c r="U1068">
        <f t="shared" si="113"/>
        <v>15</v>
      </c>
      <c r="V1068">
        <f t="shared" si="114"/>
        <v>2305.2599999999998</v>
      </c>
      <c r="W1068">
        <f t="shared" si="115"/>
        <v>345.78899999999976</v>
      </c>
      <c r="X1068">
        <f t="shared" si="116"/>
        <v>3</v>
      </c>
      <c r="Y1068" cm="1">
        <f t="array" ref="Y1068">_xlfn.IFS(H1068=0.1,1,H1068=0.15,1,H1068=0.05,1,H1068=0,0)</f>
        <v>1</v>
      </c>
      <c r="Z1068">
        <f t="shared" si="117"/>
        <v>9</v>
      </c>
      <c r="AA1068">
        <f t="shared" si="118"/>
        <v>2025</v>
      </c>
    </row>
    <row r="1069" spans="1:27" x14ac:dyDescent="0.3">
      <c r="A1069" s="2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2124</v>
      </c>
      <c r="O1069" t="s">
        <v>2125</v>
      </c>
      <c r="P1069">
        <v>8.6</v>
      </c>
      <c r="Q1069" s="2">
        <v>45529</v>
      </c>
      <c r="R1069" s="2">
        <v>45538</v>
      </c>
      <c r="S1069" t="s">
        <v>50</v>
      </c>
      <c r="T1069">
        <f t="shared" si="112"/>
        <v>4713.8600000000006</v>
      </c>
      <c r="U1069">
        <f t="shared" si="113"/>
        <v>15</v>
      </c>
      <c r="V1069">
        <f t="shared" si="114"/>
        <v>5535.6</v>
      </c>
      <c r="W1069">
        <f t="shared" si="115"/>
        <v>830.34000000000015</v>
      </c>
      <c r="X1069">
        <f t="shared" si="116"/>
        <v>9</v>
      </c>
      <c r="Y1069" cm="1">
        <f t="array" ref="Y1069">_xlfn.IFS(H1069=0.1,1,H1069=0.15,1,H1069=0.05,1,H1069=0,0)</f>
        <v>1</v>
      </c>
      <c r="Z1069">
        <f t="shared" si="117"/>
        <v>12</v>
      </c>
      <c r="AA1069">
        <f t="shared" si="118"/>
        <v>2024</v>
      </c>
    </row>
    <row r="1070" spans="1:27" x14ac:dyDescent="0.3">
      <c r="A1070" s="2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2126</v>
      </c>
      <c r="O1070" t="s">
        <v>1682</v>
      </c>
      <c r="P1070">
        <v>23.99</v>
      </c>
      <c r="Q1070" s="2">
        <v>45168</v>
      </c>
      <c r="R1070" s="2">
        <v>45174</v>
      </c>
      <c r="S1070" t="s">
        <v>28</v>
      </c>
      <c r="T1070">
        <f t="shared" si="112"/>
        <v>207.416</v>
      </c>
      <c r="U1070">
        <f t="shared" si="113"/>
        <v>5</v>
      </c>
      <c r="V1070">
        <f t="shared" si="114"/>
        <v>193.08</v>
      </c>
      <c r="W1070">
        <f t="shared" si="115"/>
        <v>9.6540000000000248</v>
      </c>
      <c r="X1070">
        <f t="shared" si="116"/>
        <v>6</v>
      </c>
      <c r="Y1070" cm="1">
        <f t="array" ref="Y1070">_xlfn.IFS(H1070=0.1,1,H1070=0.15,1,H1070=0.05,1,H1070=0,0)</f>
        <v>1</v>
      </c>
      <c r="Z1070">
        <f t="shared" si="117"/>
        <v>1</v>
      </c>
      <c r="AA1070">
        <f t="shared" si="118"/>
        <v>2023</v>
      </c>
    </row>
    <row r="1071" spans="1:27" x14ac:dyDescent="0.3">
      <c r="A1071" s="2">
        <v>45175</v>
      </c>
      <c r="B1071" t="s">
        <v>71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L1071" t="s">
        <v>59</v>
      </c>
      <c r="M1071">
        <v>1</v>
      </c>
      <c r="N1071" t="s">
        <v>2127</v>
      </c>
      <c r="O1071" t="s">
        <v>2128</v>
      </c>
      <c r="P1071">
        <v>20.059999999999999</v>
      </c>
      <c r="Q1071" s="2">
        <v>45175</v>
      </c>
      <c r="R1071" s="2">
        <v>45181</v>
      </c>
      <c r="S1071" t="s">
        <v>74</v>
      </c>
      <c r="T1071">
        <f t="shared" si="112"/>
        <v>913.02449999999999</v>
      </c>
      <c r="U1071">
        <f t="shared" si="113"/>
        <v>5</v>
      </c>
      <c r="V1071">
        <f t="shared" si="114"/>
        <v>938.91000000000008</v>
      </c>
      <c r="W1071">
        <f t="shared" si="115"/>
        <v>46.945500000000038</v>
      </c>
      <c r="X1071">
        <f t="shared" si="116"/>
        <v>6</v>
      </c>
      <c r="Y1071" cm="1">
        <f t="array" ref="Y1071">_xlfn.IFS(H1071=0.1,1,H1071=0.15,1,H1071=0.05,1,H1071=0,0)</f>
        <v>1</v>
      </c>
      <c r="Z1071">
        <f t="shared" si="117"/>
        <v>3</v>
      </c>
      <c r="AA1071">
        <f t="shared" si="118"/>
        <v>2023</v>
      </c>
    </row>
    <row r="1072" spans="1:27" x14ac:dyDescent="0.3">
      <c r="A1072" s="2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65</v>
      </c>
      <c r="L1072" t="s">
        <v>25</v>
      </c>
      <c r="M1072">
        <v>0</v>
      </c>
      <c r="N1072" t="s">
        <v>2129</v>
      </c>
      <c r="O1072" t="s">
        <v>2130</v>
      </c>
      <c r="P1072">
        <v>44.86</v>
      </c>
      <c r="Q1072" s="2">
        <v>45790</v>
      </c>
      <c r="R1072" s="2">
        <v>45798</v>
      </c>
      <c r="S1072" t="s">
        <v>38</v>
      </c>
      <c r="T1072">
        <f t="shared" si="112"/>
        <v>1265.4579999999999</v>
      </c>
      <c r="U1072">
        <f t="shared" si="113"/>
        <v>5</v>
      </c>
      <c r="V1072">
        <f t="shared" si="114"/>
        <v>1284.8399999999999</v>
      </c>
      <c r="W1072">
        <f t="shared" si="115"/>
        <v>64.241999999999962</v>
      </c>
      <c r="X1072">
        <f t="shared" si="116"/>
        <v>8</v>
      </c>
      <c r="Y1072" cm="1">
        <f t="array" ref="Y1072">_xlfn.IFS(H1072=0.1,1,H1072=0.15,1,H1072=0.05,1,H1072=0,0)</f>
        <v>1</v>
      </c>
      <c r="Z1072">
        <f t="shared" si="117"/>
        <v>6</v>
      </c>
      <c r="AA1072">
        <f t="shared" si="118"/>
        <v>2025</v>
      </c>
    </row>
    <row r="1073" spans="1:27" x14ac:dyDescent="0.3">
      <c r="A1073" s="2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2131</v>
      </c>
      <c r="O1073" t="s">
        <v>2132</v>
      </c>
      <c r="P1073">
        <v>42.59</v>
      </c>
      <c r="Q1073" s="2">
        <v>45228</v>
      </c>
      <c r="R1073" s="2">
        <v>45236</v>
      </c>
      <c r="S1073" t="s">
        <v>44</v>
      </c>
      <c r="T1073">
        <f t="shared" si="112"/>
        <v>257.87</v>
      </c>
      <c r="U1073">
        <f t="shared" si="113"/>
        <v>10</v>
      </c>
      <c r="V1073">
        <f t="shared" si="114"/>
        <v>239.2</v>
      </c>
      <c r="W1073">
        <f t="shared" si="115"/>
        <v>23.919999999999987</v>
      </c>
      <c r="X1073">
        <f t="shared" si="116"/>
        <v>8</v>
      </c>
      <c r="Y1073" cm="1">
        <f t="array" ref="Y1073">_xlfn.IFS(H1073=0.1,1,H1073=0.15,1,H1073=0.05,1,H1073=0,0)</f>
        <v>1</v>
      </c>
      <c r="Z1073">
        <f t="shared" si="117"/>
        <v>4</v>
      </c>
      <c r="AA1073">
        <f t="shared" si="118"/>
        <v>2023</v>
      </c>
    </row>
    <row r="1074" spans="1:27" x14ac:dyDescent="0.3">
      <c r="A1074" s="2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68</v>
      </c>
      <c r="J1074">
        <v>3762</v>
      </c>
      <c r="K1074" t="s">
        <v>58</v>
      </c>
      <c r="L1074" t="s">
        <v>41</v>
      </c>
      <c r="M1074">
        <v>0</v>
      </c>
      <c r="N1074" t="s">
        <v>2133</v>
      </c>
      <c r="O1074" t="s">
        <v>2134</v>
      </c>
      <c r="P1074">
        <v>30.45</v>
      </c>
      <c r="Q1074" s="2">
        <v>45455</v>
      </c>
      <c r="R1074" s="2">
        <v>45461</v>
      </c>
      <c r="S1074" t="s">
        <v>28</v>
      </c>
      <c r="T1074">
        <f t="shared" si="112"/>
        <v>3792.45</v>
      </c>
      <c r="U1074">
        <f t="shared" si="113"/>
        <v>0</v>
      </c>
      <c r="V1074">
        <f t="shared" si="114"/>
        <v>3762</v>
      </c>
      <c r="W1074">
        <f t="shared" si="115"/>
        <v>0</v>
      </c>
      <c r="X1074">
        <f t="shared" si="116"/>
        <v>6</v>
      </c>
      <c r="Y1074" cm="1">
        <f t="array" ref="Y1074">_xlfn.IFS(H1074=0.1,1,H1074=0.15,1,H1074=0.05,1,H1074=0,0)</f>
        <v>0</v>
      </c>
      <c r="Z1074">
        <f t="shared" si="117"/>
        <v>0</v>
      </c>
      <c r="AA1074">
        <f t="shared" si="118"/>
        <v>2024</v>
      </c>
    </row>
    <row r="1075" spans="1:27" x14ac:dyDescent="0.3">
      <c r="A1075" s="2">
        <v>44959</v>
      </c>
      <c r="B1075" t="s">
        <v>29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68</v>
      </c>
      <c r="J1075">
        <v>80.959999999999994</v>
      </c>
      <c r="K1075" t="s">
        <v>58</v>
      </c>
      <c r="L1075" t="s">
        <v>25</v>
      </c>
      <c r="M1075">
        <v>0</v>
      </c>
      <c r="N1075" t="s">
        <v>2135</v>
      </c>
      <c r="O1075" t="s">
        <v>2136</v>
      </c>
      <c r="P1075">
        <v>48.07</v>
      </c>
      <c r="Q1075" s="2">
        <v>44959</v>
      </c>
      <c r="R1075" s="2">
        <v>44962</v>
      </c>
      <c r="S1075" t="s">
        <v>38</v>
      </c>
      <c r="T1075">
        <f t="shared" si="112"/>
        <v>129.03</v>
      </c>
      <c r="U1075">
        <f t="shared" si="113"/>
        <v>0</v>
      </c>
      <c r="V1075">
        <f t="shared" si="114"/>
        <v>80.959999999999994</v>
      </c>
      <c r="W1075">
        <f t="shared" si="115"/>
        <v>0</v>
      </c>
      <c r="X1075">
        <f t="shared" si="116"/>
        <v>3</v>
      </c>
      <c r="Y1075" cm="1">
        <f t="array" ref="Y1075">_xlfn.IFS(H1075=0.1,1,H1075=0.15,1,H1075=0.05,1,H1075=0,0)</f>
        <v>0</v>
      </c>
      <c r="Z1075">
        <f t="shared" si="117"/>
        <v>0</v>
      </c>
      <c r="AA1075">
        <f t="shared" si="118"/>
        <v>2023</v>
      </c>
    </row>
    <row r="1076" spans="1:27" x14ac:dyDescent="0.3">
      <c r="A1076" s="2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L1076" t="s">
        <v>59</v>
      </c>
      <c r="M1076">
        <v>0</v>
      </c>
      <c r="N1076" t="s">
        <v>2137</v>
      </c>
      <c r="O1076" t="s">
        <v>2138</v>
      </c>
      <c r="P1076">
        <v>43.22</v>
      </c>
      <c r="Q1076" s="2">
        <v>45050</v>
      </c>
      <c r="R1076" s="2">
        <v>45058</v>
      </c>
      <c r="S1076" t="s">
        <v>28</v>
      </c>
      <c r="T1076">
        <f t="shared" si="112"/>
        <v>759.26</v>
      </c>
      <c r="U1076">
        <f t="shared" si="113"/>
        <v>15</v>
      </c>
      <c r="V1076">
        <f t="shared" si="114"/>
        <v>842.4</v>
      </c>
      <c r="W1076">
        <f t="shared" si="115"/>
        <v>126.36000000000001</v>
      </c>
      <c r="X1076">
        <f t="shared" si="116"/>
        <v>8</v>
      </c>
      <c r="Y1076" cm="1">
        <f t="array" ref="Y1076">_xlfn.IFS(H1076=0.1,1,H1076=0.15,1,H1076=0.05,1,H1076=0,0)</f>
        <v>1</v>
      </c>
      <c r="Z1076">
        <f t="shared" si="117"/>
        <v>20</v>
      </c>
      <c r="AA1076">
        <f t="shared" si="118"/>
        <v>2023</v>
      </c>
    </row>
    <row r="1077" spans="1:27" x14ac:dyDescent="0.3">
      <c r="A1077" s="2">
        <v>45070</v>
      </c>
      <c r="B1077" t="s">
        <v>71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2139</v>
      </c>
      <c r="O1077" t="s">
        <v>2140</v>
      </c>
      <c r="P1077">
        <v>33.6</v>
      </c>
      <c r="Q1077" s="2">
        <v>45070</v>
      </c>
      <c r="R1077" s="2">
        <v>45077</v>
      </c>
      <c r="S1077" t="s">
        <v>74</v>
      </c>
      <c r="T1077">
        <f t="shared" si="112"/>
        <v>1133.55</v>
      </c>
      <c r="U1077">
        <f t="shared" si="113"/>
        <v>0</v>
      </c>
      <c r="V1077">
        <f t="shared" si="114"/>
        <v>1099.9499999999998</v>
      </c>
      <c r="W1077">
        <f t="shared" si="115"/>
        <v>0</v>
      </c>
      <c r="X1077">
        <f t="shared" si="116"/>
        <v>7</v>
      </c>
      <c r="Y1077" cm="1">
        <f t="array" ref="Y1077">_xlfn.IFS(H1077=0.1,1,H1077=0.15,1,H1077=0.05,1,H1077=0,0)</f>
        <v>0</v>
      </c>
      <c r="Z1077">
        <f t="shared" si="117"/>
        <v>0</v>
      </c>
      <c r="AA1077">
        <f t="shared" si="118"/>
        <v>2023</v>
      </c>
    </row>
    <row r="1078" spans="1:27" x14ac:dyDescent="0.3">
      <c r="A1078" s="2">
        <v>44960</v>
      </c>
      <c r="B1078" t="s">
        <v>71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L1078" t="s">
        <v>59</v>
      </c>
      <c r="M1078">
        <v>0</v>
      </c>
      <c r="N1078" t="s">
        <v>2141</v>
      </c>
      <c r="O1078" t="s">
        <v>2142</v>
      </c>
      <c r="P1078">
        <v>26.97</v>
      </c>
      <c r="Q1078" s="2">
        <v>44960</v>
      </c>
      <c r="R1078" s="2">
        <v>44970</v>
      </c>
      <c r="S1078" t="s">
        <v>74</v>
      </c>
      <c r="T1078">
        <f t="shared" si="112"/>
        <v>10190.449999999999</v>
      </c>
      <c r="U1078">
        <f t="shared" si="113"/>
        <v>0</v>
      </c>
      <c r="V1078">
        <f t="shared" si="114"/>
        <v>10163.48</v>
      </c>
      <c r="W1078">
        <f t="shared" si="115"/>
        <v>0</v>
      </c>
      <c r="X1078">
        <f t="shared" si="116"/>
        <v>10</v>
      </c>
      <c r="Y1078" cm="1">
        <f t="array" ref="Y1078">_xlfn.IFS(H1078=0.1,1,H1078=0.15,1,H1078=0.05,1,H1078=0,0)</f>
        <v>0</v>
      </c>
      <c r="Z1078">
        <f t="shared" si="117"/>
        <v>0</v>
      </c>
      <c r="AA1078">
        <f t="shared" si="118"/>
        <v>2023</v>
      </c>
    </row>
    <row r="1079" spans="1:27" x14ac:dyDescent="0.3">
      <c r="A1079" s="2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68</v>
      </c>
      <c r="J1079">
        <v>494.52</v>
      </c>
      <c r="K1079" t="s">
        <v>58</v>
      </c>
      <c r="L1079" t="s">
        <v>59</v>
      </c>
      <c r="M1079">
        <v>0</v>
      </c>
      <c r="N1079" t="s">
        <v>2143</v>
      </c>
      <c r="O1079" t="s">
        <v>2144</v>
      </c>
      <c r="P1079">
        <v>43.02</v>
      </c>
      <c r="Q1079" s="2">
        <v>45285</v>
      </c>
      <c r="R1079" s="2">
        <v>45293</v>
      </c>
      <c r="S1079" t="s">
        <v>28</v>
      </c>
      <c r="T1079">
        <f t="shared" si="112"/>
        <v>537.54</v>
      </c>
      <c r="U1079">
        <f t="shared" si="113"/>
        <v>0</v>
      </c>
      <c r="V1079">
        <f t="shared" si="114"/>
        <v>494.52</v>
      </c>
      <c r="W1079">
        <f t="shared" si="115"/>
        <v>0</v>
      </c>
      <c r="X1079">
        <f t="shared" si="116"/>
        <v>8</v>
      </c>
      <c r="Y1079" cm="1">
        <f t="array" ref="Y1079">_xlfn.IFS(H1079=0.1,1,H1079=0.15,1,H1079=0.05,1,H1079=0,0)</f>
        <v>0</v>
      </c>
      <c r="Z1079">
        <f t="shared" si="117"/>
        <v>0</v>
      </c>
      <c r="AA1079">
        <f t="shared" si="118"/>
        <v>2023</v>
      </c>
    </row>
    <row r="1080" spans="1:27" x14ac:dyDescent="0.3">
      <c r="A1080" s="2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2145</v>
      </c>
      <c r="O1080" t="s">
        <v>2146</v>
      </c>
      <c r="P1080">
        <v>31.13</v>
      </c>
      <c r="Q1080" s="2">
        <v>45133</v>
      </c>
      <c r="R1080" s="2">
        <v>45139</v>
      </c>
      <c r="S1080" t="s">
        <v>28</v>
      </c>
      <c r="T1080">
        <f t="shared" si="112"/>
        <v>1893.3480000000002</v>
      </c>
      <c r="U1080">
        <f t="shared" si="113"/>
        <v>10</v>
      </c>
      <c r="V1080">
        <f t="shared" si="114"/>
        <v>2068.02</v>
      </c>
      <c r="W1080">
        <f t="shared" si="115"/>
        <v>206.80199999999991</v>
      </c>
      <c r="X1080">
        <f t="shared" si="116"/>
        <v>6</v>
      </c>
      <c r="Y1080" cm="1">
        <f t="array" ref="Y1080">_xlfn.IFS(H1080=0.1,1,H1080=0.15,1,H1080=0.05,1,H1080=0,0)</f>
        <v>1</v>
      </c>
      <c r="Z1080">
        <f t="shared" si="117"/>
        <v>6</v>
      </c>
      <c r="AA1080">
        <f t="shared" si="118"/>
        <v>2023</v>
      </c>
    </row>
    <row r="1081" spans="1:27" x14ac:dyDescent="0.3">
      <c r="A1081" s="2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68</v>
      </c>
      <c r="J1081">
        <v>4989.2280000000001</v>
      </c>
      <c r="K1081" t="s">
        <v>24</v>
      </c>
      <c r="L1081" t="s">
        <v>35</v>
      </c>
      <c r="M1081">
        <v>0</v>
      </c>
      <c r="N1081" t="s">
        <v>2147</v>
      </c>
      <c r="O1081" t="s">
        <v>208</v>
      </c>
      <c r="P1081">
        <v>29.31</v>
      </c>
      <c r="Q1081" s="2">
        <v>45449</v>
      </c>
      <c r="R1081" s="2">
        <v>45458</v>
      </c>
      <c r="S1081" t="s">
        <v>50</v>
      </c>
      <c r="T1081">
        <f t="shared" si="112"/>
        <v>5018.5380000000005</v>
      </c>
      <c r="U1081">
        <f t="shared" si="113"/>
        <v>15</v>
      </c>
      <c r="V1081">
        <f t="shared" si="114"/>
        <v>5869.68</v>
      </c>
      <c r="W1081">
        <f t="shared" si="115"/>
        <v>880.45200000000023</v>
      </c>
      <c r="X1081">
        <f t="shared" si="116"/>
        <v>9</v>
      </c>
      <c r="Y1081" cm="1">
        <f t="array" ref="Y1081">_xlfn.IFS(H1081=0.1,1,H1081=0.15,1,H1081=0.05,1,H1081=0,0)</f>
        <v>1</v>
      </c>
      <c r="Z1081">
        <f t="shared" si="117"/>
        <v>12</v>
      </c>
      <c r="AA1081">
        <f t="shared" si="118"/>
        <v>2024</v>
      </c>
    </row>
    <row r="1082" spans="1:27" x14ac:dyDescent="0.3">
      <c r="A1082" s="2">
        <v>45578</v>
      </c>
      <c r="B1082" t="s">
        <v>29</v>
      </c>
      <c r="C1082" t="s">
        <v>132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62</v>
      </c>
      <c r="L1082" t="s">
        <v>59</v>
      </c>
      <c r="M1082">
        <v>0</v>
      </c>
      <c r="N1082" t="s">
        <v>2148</v>
      </c>
      <c r="O1082" t="s">
        <v>2149</v>
      </c>
      <c r="P1082">
        <v>11.21</v>
      </c>
      <c r="Q1082" s="2">
        <v>45578</v>
      </c>
      <c r="R1082" s="2">
        <v>45583</v>
      </c>
      <c r="S1082" t="s">
        <v>38</v>
      </c>
      <c r="T1082">
        <f t="shared" si="112"/>
        <v>4392.7430000000004</v>
      </c>
      <c r="U1082">
        <f t="shared" si="113"/>
        <v>5</v>
      </c>
      <c r="V1082">
        <f t="shared" si="114"/>
        <v>4612.1400000000003</v>
      </c>
      <c r="W1082">
        <f t="shared" si="115"/>
        <v>230.60699999999997</v>
      </c>
      <c r="X1082">
        <f t="shared" si="116"/>
        <v>5</v>
      </c>
      <c r="Y1082" cm="1">
        <f t="array" ref="Y1082">_xlfn.IFS(H1082=0.1,1,H1082=0.15,1,H1082=0.05,1,H1082=0,0)</f>
        <v>1</v>
      </c>
      <c r="Z1082">
        <f t="shared" si="117"/>
        <v>18</v>
      </c>
      <c r="AA1082">
        <f t="shared" si="118"/>
        <v>2024</v>
      </c>
    </row>
    <row r="1083" spans="1:27" x14ac:dyDescent="0.3">
      <c r="A1083" s="2">
        <v>45599</v>
      </c>
      <c r="B1083" t="s">
        <v>39</v>
      </c>
      <c r="C1083" t="s">
        <v>132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2150</v>
      </c>
      <c r="O1083" t="s">
        <v>807</v>
      </c>
      <c r="P1083">
        <v>21.89</v>
      </c>
      <c r="Q1083" s="2">
        <v>45599</v>
      </c>
      <c r="R1083" s="2">
        <v>45609</v>
      </c>
      <c r="S1083" t="s">
        <v>44</v>
      </c>
      <c r="T1083">
        <f t="shared" si="112"/>
        <v>1718.8100000000002</v>
      </c>
      <c r="U1083">
        <f t="shared" si="113"/>
        <v>0</v>
      </c>
      <c r="V1083">
        <f t="shared" si="114"/>
        <v>1695.92</v>
      </c>
      <c r="W1083">
        <f t="shared" si="115"/>
        <v>0</v>
      </c>
      <c r="X1083">
        <f t="shared" si="116"/>
        <v>10</v>
      </c>
      <c r="Y1083" cm="1">
        <f t="array" ref="Y1083">_xlfn.IFS(H1083=0.1,1,H1083=0.15,1,H1083=0.05,1,H1083=0,0)</f>
        <v>0</v>
      </c>
      <c r="Z1083">
        <f t="shared" si="117"/>
        <v>0</v>
      </c>
      <c r="AA1083">
        <f t="shared" si="118"/>
        <v>2024</v>
      </c>
    </row>
    <row r="1084" spans="1:27" x14ac:dyDescent="0.3">
      <c r="A1084" s="2">
        <v>45325</v>
      </c>
      <c r="B1084" t="s">
        <v>39</v>
      </c>
      <c r="C1084" t="s">
        <v>132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L1084" t="s">
        <v>59</v>
      </c>
      <c r="M1084">
        <v>0</v>
      </c>
      <c r="N1084" t="s">
        <v>2151</v>
      </c>
      <c r="O1084" t="s">
        <v>2152</v>
      </c>
      <c r="P1084">
        <v>32.53</v>
      </c>
      <c r="Q1084" s="2">
        <v>45325</v>
      </c>
      <c r="R1084" s="2">
        <v>45333</v>
      </c>
      <c r="S1084" t="s">
        <v>44</v>
      </c>
      <c r="T1084">
        <f t="shared" si="112"/>
        <v>7285.8459999999995</v>
      </c>
      <c r="U1084">
        <f t="shared" si="113"/>
        <v>10</v>
      </c>
      <c r="V1084">
        <f t="shared" si="114"/>
        <v>8059.24</v>
      </c>
      <c r="W1084">
        <f t="shared" si="115"/>
        <v>805.92399999999998</v>
      </c>
      <c r="X1084">
        <f t="shared" si="116"/>
        <v>8</v>
      </c>
      <c r="Y1084" cm="1">
        <f t="array" ref="Y1084">_xlfn.IFS(H1084=0.1,1,H1084=0.15,1,H1084=0.05,1,H1084=0,0)</f>
        <v>1</v>
      </c>
      <c r="Z1084">
        <f t="shared" si="117"/>
        <v>14</v>
      </c>
      <c r="AA1084">
        <f t="shared" si="118"/>
        <v>2024</v>
      </c>
    </row>
    <row r="1085" spans="1:27" x14ac:dyDescent="0.3">
      <c r="A1085" s="2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900.25200000000007</v>
      </c>
      <c r="K1085" t="s">
        <v>24</v>
      </c>
      <c r="L1085" t="s">
        <v>25</v>
      </c>
      <c r="M1085">
        <v>0</v>
      </c>
      <c r="N1085" t="s">
        <v>2153</v>
      </c>
      <c r="O1085" t="s">
        <v>2154</v>
      </c>
      <c r="P1085">
        <v>16.98</v>
      </c>
      <c r="Q1085" s="2">
        <v>44936</v>
      </c>
      <c r="R1085" s="2">
        <v>44939</v>
      </c>
      <c r="S1085" t="s">
        <v>28</v>
      </c>
      <c r="T1085">
        <f t="shared" si="112"/>
        <v>917.23200000000008</v>
      </c>
      <c r="U1085">
        <f t="shared" si="113"/>
        <v>15</v>
      </c>
      <c r="V1085">
        <f t="shared" si="114"/>
        <v>1059.1200000000001</v>
      </c>
      <c r="W1085">
        <f t="shared" si="115"/>
        <v>158.86800000000005</v>
      </c>
      <c r="X1085">
        <f t="shared" si="116"/>
        <v>3</v>
      </c>
      <c r="Y1085" cm="1">
        <f t="array" ref="Y1085">_xlfn.IFS(H1085=0.1,1,H1085=0.15,1,H1085=0.05,1,H1085=0,0)</f>
        <v>1</v>
      </c>
      <c r="Z1085">
        <f t="shared" si="117"/>
        <v>6</v>
      </c>
      <c r="AA1085">
        <f t="shared" si="118"/>
        <v>2023</v>
      </c>
    </row>
    <row r="1086" spans="1:27" x14ac:dyDescent="0.3">
      <c r="A1086" s="2">
        <v>45215</v>
      </c>
      <c r="B1086" t="s">
        <v>19</v>
      </c>
      <c r="C1086" t="s">
        <v>81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2155</v>
      </c>
      <c r="O1086" t="s">
        <v>2156</v>
      </c>
      <c r="P1086">
        <v>30.62</v>
      </c>
      <c r="Q1086" s="2">
        <v>45215</v>
      </c>
      <c r="R1086" s="2">
        <v>45221</v>
      </c>
      <c r="S1086" t="s">
        <v>28</v>
      </c>
      <c r="T1086">
        <f t="shared" si="112"/>
        <v>2798.8820000000001</v>
      </c>
      <c r="U1086">
        <f t="shared" si="113"/>
        <v>5</v>
      </c>
      <c r="V1086">
        <f t="shared" si="114"/>
        <v>2913.96</v>
      </c>
      <c r="W1086">
        <f t="shared" si="115"/>
        <v>145.69799999999987</v>
      </c>
      <c r="X1086">
        <f t="shared" si="116"/>
        <v>6</v>
      </c>
      <c r="Y1086" cm="1">
        <f t="array" ref="Y1086">_xlfn.IFS(H1086=0.1,1,H1086=0.15,1,H1086=0.05,1,H1086=0,0)</f>
        <v>1</v>
      </c>
      <c r="Z1086">
        <f t="shared" si="117"/>
        <v>6</v>
      </c>
      <c r="AA1086">
        <f t="shared" si="118"/>
        <v>2023</v>
      </c>
    </row>
    <row r="1087" spans="1:27" x14ac:dyDescent="0.3">
      <c r="A1087" s="2">
        <v>45735</v>
      </c>
      <c r="B1087" t="s">
        <v>45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68</v>
      </c>
      <c r="J1087">
        <v>1019.592</v>
      </c>
      <c r="K1087" t="s">
        <v>34</v>
      </c>
      <c r="L1087" t="s">
        <v>41</v>
      </c>
      <c r="M1087">
        <v>0</v>
      </c>
      <c r="N1087" t="s">
        <v>2157</v>
      </c>
      <c r="O1087" t="s">
        <v>2158</v>
      </c>
      <c r="P1087">
        <v>14.02</v>
      </c>
      <c r="Q1087" s="2">
        <v>45735</v>
      </c>
      <c r="R1087" s="2">
        <v>45740</v>
      </c>
      <c r="S1087" t="s">
        <v>50</v>
      </c>
      <c r="T1087">
        <f t="shared" si="112"/>
        <v>1033.6120000000001</v>
      </c>
      <c r="U1087">
        <f t="shared" si="113"/>
        <v>10</v>
      </c>
      <c r="V1087">
        <f t="shared" si="114"/>
        <v>1132.8800000000001</v>
      </c>
      <c r="W1087">
        <f t="shared" si="115"/>
        <v>113.28800000000012</v>
      </c>
      <c r="X1087">
        <f t="shared" si="116"/>
        <v>5</v>
      </c>
      <c r="Y1087" cm="1">
        <f t="array" ref="Y1087">_xlfn.IFS(H1087=0.1,1,H1087=0.15,1,H1087=0.05,1,H1087=0,0)</f>
        <v>1</v>
      </c>
      <c r="Z1087">
        <f t="shared" si="117"/>
        <v>8</v>
      </c>
      <c r="AA1087">
        <f t="shared" si="118"/>
        <v>2025</v>
      </c>
    </row>
    <row r="1088" spans="1:27" x14ac:dyDescent="0.3">
      <c r="A1088" s="2">
        <v>45642</v>
      </c>
      <c r="B1088" t="s">
        <v>71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2159</v>
      </c>
      <c r="O1088" t="s">
        <v>2160</v>
      </c>
      <c r="P1088">
        <v>5.84</v>
      </c>
      <c r="Q1088" s="2">
        <v>45642</v>
      </c>
      <c r="R1088" s="2">
        <v>45645</v>
      </c>
      <c r="S1088" t="s">
        <v>74</v>
      </c>
      <c r="T1088">
        <f t="shared" si="112"/>
        <v>1749.6889999999999</v>
      </c>
      <c r="U1088">
        <f t="shared" si="113"/>
        <v>10</v>
      </c>
      <c r="V1088">
        <f t="shared" si="114"/>
        <v>1937.61</v>
      </c>
      <c r="W1088">
        <f t="shared" si="115"/>
        <v>193.76099999999997</v>
      </c>
      <c r="X1088">
        <f t="shared" si="116"/>
        <v>3</v>
      </c>
      <c r="Y1088" cm="1">
        <f t="array" ref="Y1088">_xlfn.IFS(H1088=0.1,1,H1088=0.15,1,H1088=0.05,1,H1088=0,0)</f>
        <v>1</v>
      </c>
      <c r="Z1088">
        <f t="shared" si="117"/>
        <v>9</v>
      </c>
      <c r="AA1088">
        <f t="shared" si="118"/>
        <v>2024</v>
      </c>
    </row>
    <row r="1089" spans="1:27" x14ac:dyDescent="0.3">
      <c r="A1089" s="2">
        <v>45154</v>
      </c>
      <c r="B1089" t="s">
        <v>71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8502.4620000000014</v>
      </c>
      <c r="K1089" t="s">
        <v>58</v>
      </c>
      <c r="L1089" t="s">
        <v>41</v>
      </c>
      <c r="M1089">
        <v>0</v>
      </c>
      <c r="N1089" t="s">
        <v>2161</v>
      </c>
      <c r="O1089" t="s">
        <v>2162</v>
      </c>
      <c r="P1089">
        <v>17.39</v>
      </c>
      <c r="Q1089" s="2">
        <v>45154</v>
      </c>
      <c r="R1089" s="2">
        <v>45158</v>
      </c>
      <c r="S1089" t="s">
        <v>74</v>
      </c>
      <c r="T1089">
        <f t="shared" si="112"/>
        <v>8519.8520000000008</v>
      </c>
      <c r="U1089">
        <f t="shared" si="113"/>
        <v>5</v>
      </c>
      <c r="V1089">
        <f t="shared" si="114"/>
        <v>8949.9600000000009</v>
      </c>
      <c r="W1089">
        <f t="shared" si="115"/>
        <v>447.49799999999959</v>
      </c>
      <c r="X1089">
        <f t="shared" si="116"/>
        <v>4</v>
      </c>
      <c r="Y1089" cm="1">
        <f t="array" ref="Y1089">_xlfn.IFS(H1089=0.1,1,H1089=0.15,1,H1089=0.05,1,H1089=0,0)</f>
        <v>1</v>
      </c>
      <c r="Z1089">
        <f t="shared" si="117"/>
        <v>18</v>
      </c>
      <c r="AA1089">
        <f t="shared" si="118"/>
        <v>2023</v>
      </c>
    </row>
    <row r="1090" spans="1:27" x14ac:dyDescent="0.3">
      <c r="A1090" s="2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4294.4654999999993</v>
      </c>
      <c r="K1090" t="s">
        <v>34</v>
      </c>
      <c r="L1090" t="s">
        <v>25</v>
      </c>
      <c r="M1090">
        <v>1</v>
      </c>
      <c r="N1090" t="s">
        <v>2163</v>
      </c>
      <c r="O1090" t="s">
        <v>2164</v>
      </c>
      <c r="P1090">
        <v>31.81</v>
      </c>
      <c r="Q1090" s="2">
        <v>44936</v>
      </c>
      <c r="R1090" s="2">
        <v>44946</v>
      </c>
      <c r="S1090" t="s">
        <v>28</v>
      </c>
      <c r="T1090">
        <f t="shared" si="112"/>
        <v>4327.2754999999997</v>
      </c>
      <c r="U1090">
        <f t="shared" si="113"/>
        <v>5</v>
      </c>
      <c r="V1090">
        <f t="shared" si="114"/>
        <v>4520.49</v>
      </c>
      <c r="W1090">
        <f t="shared" si="115"/>
        <v>226.02450000000044</v>
      </c>
      <c r="X1090">
        <f t="shared" si="116"/>
        <v>10</v>
      </c>
      <c r="Y1090" cm="1">
        <f t="array" ref="Y1090">_xlfn.IFS(H1090=0.1,1,H1090=0.15,1,H1090=0.05,1,H1090=0,0)</f>
        <v>1</v>
      </c>
      <c r="Z1090">
        <f t="shared" si="117"/>
        <v>13</v>
      </c>
      <c r="AA1090">
        <f t="shared" si="118"/>
        <v>2023</v>
      </c>
    </row>
    <row r="1091" spans="1:27" x14ac:dyDescent="0.3">
      <c r="A1091" s="2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2165</v>
      </c>
      <c r="O1091" t="s">
        <v>2166</v>
      </c>
      <c r="P1091">
        <v>20.02</v>
      </c>
      <c r="Q1091" s="2">
        <v>45786</v>
      </c>
      <c r="R1091" s="2">
        <v>45795</v>
      </c>
      <c r="S1091" t="s">
        <v>50</v>
      </c>
      <c r="T1091">
        <f t="shared" ref="T1091:T1154" si="119">SUM(J1091:P1091)</f>
        <v>1022.287</v>
      </c>
      <c r="U1091">
        <f t="shared" ref="U1091:U1154" si="120">PRODUCT(100,H1091)</f>
        <v>10</v>
      </c>
      <c r="V1091">
        <f t="shared" ref="V1091:V1154" si="121">PRODUCT(D1091:E1091)</f>
        <v>1113.6299999999999</v>
      </c>
      <c r="W1091">
        <f t="shared" ref="W1091:W1154" si="122" xml:space="preserve"> V1091-J1091</f>
        <v>111.36299999999983</v>
      </c>
      <c r="X1091">
        <f t="shared" ref="X1091:X1154" si="123">R1091-Q1091</f>
        <v>9</v>
      </c>
      <c r="Y1091" cm="1">
        <f t="array" ref="Y1091">_xlfn.IFS(H1091=0.1,1,H1091=0.15,1,H1091=0.05,1,H1091=0,0)</f>
        <v>1</v>
      </c>
      <c r="Z1091">
        <f t="shared" ref="Z1091:Z1154" si="124">PRODUCT(Y1091,D1091)</f>
        <v>3</v>
      </c>
      <c r="AA1091">
        <f t="shared" ref="AA1091:AA1154" si="125">YEAR(A1091)</f>
        <v>2025</v>
      </c>
    </row>
    <row r="1092" spans="1:27" x14ac:dyDescent="0.3">
      <c r="A1092" s="2">
        <v>45390</v>
      </c>
      <c r="B1092" t="s">
        <v>19</v>
      </c>
      <c r="C1092" t="s">
        <v>132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68</v>
      </c>
      <c r="J1092">
        <v>4430.1660000000002</v>
      </c>
      <c r="K1092" t="s">
        <v>65</v>
      </c>
      <c r="L1092" t="s">
        <v>25</v>
      </c>
      <c r="M1092">
        <v>0</v>
      </c>
      <c r="N1092" t="s">
        <v>2167</v>
      </c>
      <c r="O1092" t="s">
        <v>584</v>
      </c>
      <c r="P1092">
        <v>15.33</v>
      </c>
      <c r="Q1092" s="2">
        <v>45390</v>
      </c>
      <c r="R1092" s="2">
        <v>45398</v>
      </c>
      <c r="S1092" t="s">
        <v>28</v>
      </c>
      <c r="T1092">
        <f t="shared" si="119"/>
        <v>4445.4960000000001</v>
      </c>
      <c r="U1092">
        <f t="shared" si="120"/>
        <v>15</v>
      </c>
      <c r="V1092">
        <f t="shared" si="121"/>
        <v>5211.96</v>
      </c>
      <c r="W1092">
        <f t="shared" si="122"/>
        <v>781.79399999999987</v>
      </c>
      <c r="X1092">
        <f t="shared" si="123"/>
        <v>8</v>
      </c>
      <c r="Y1092" cm="1">
        <f t="array" ref="Y1092">_xlfn.IFS(H1092=0.1,1,H1092=0.15,1,H1092=0.05,1,H1092=0,0)</f>
        <v>1</v>
      </c>
      <c r="Z1092">
        <f t="shared" si="124"/>
        <v>12</v>
      </c>
      <c r="AA1092">
        <f t="shared" si="125"/>
        <v>2024</v>
      </c>
    </row>
    <row r="1093" spans="1:27" x14ac:dyDescent="0.3">
      <c r="A1093" s="2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L1093" t="s">
        <v>59</v>
      </c>
      <c r="M1093">
        <v>0</v>
      </c>
      <c r="N1093" t="s">
        <v>2168</v>
      </c>
      <c r="O1093" t="s">
        <v>2169</v>
      </c>
      <c r="P1093">
        <v>10.199999999999999</v>
      </c>
      <c r="Q1093" s="2">
        <v>45783</v>
      </c>
      <c r="R1093" s="2">
        <v>45792</v>
      </c>
      <c r="S1093" t="s">
        <v>28</v>
      </c>
      <c r="T1093">
        <f t="shared" si="119"/>
        <v>6153.96</v>
      </c>
      <c r="U1093">
        <f t="shared" si="120"/>
        <v>10</v>
      </c>
      <c r="V1093">
        <f t="shared" si="121"/>
        <v>6826.4</v>
      </c>
      <c r="W1093">
        <f t="shared" si="122"/>
        <v>682.63999999999942</v>
      </c>
      <c r="X1093">
        <f t="shared" si="123"/>
        <v>9</v>
      </c>
      <c r="Y1093" cm="1">
        <f t="array" ref="Y1093">_xlfn.IFS(H1093=0.1,1,H1093=0.15,1,H1093=0.05,1,H1093=0,0)</f>
        <v>1</v>
      </c>
      <c r="Z1093">
        <f t="shared" si="124"/>
        <v>16</v>
      </c>
      <c r="AA1093">
        <f t="shared" si="125"/>
        <v>2025</v>
      </c>
    </row>
    <row r="1094" spans="1:27" x14ac:dyDescent="0.3">
      <c r="A1094" s="2">
        <v>45067</v>
      </c>
      <c r="B1094" t="s">
        <v>71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68</v>
      </c>
      <c r="J1094">
        <v>1681.329</v>
      </c>
      <c r="K1094" t="s">
        <v>58</v>
      </c>
      <c r="L1094" t="s">
        <v>41</v>
      </c>
      <c r="M1094">
        <v>0</v>
      </c>
      <c r="N1094" t="s">
        <v>2170</v>
      </c>
      <c r="O1094" t="s">
        <v>2171</v>
      </c>
      <c r="P1094">
        <v>48.08</v>
      </c>
      <c r="Q1094" s="2">
        <v>45067</v>
      </c>
      <c r="R1094" s="2">
        <v>45075</v>
      </c>
      <c r="S1094" t="s">
        <v>74</v>
      </c>
      <c r="T1094">
        <f t="shared" si="119"/>
        <v>1729.4089999999999</v>
      </c>
      <c r="U1094">
        <f t="shared" si="120"/>
        <v>5</v>
      </c>
      <c r="V1094">
        <f t="shared" si="121"/>
        <v>1769.8200000000002</v>
      </c>
      <c r="W1094">
        <f t="shared" si="122"/>
        <v>88.491000000000213</v>
      </c>
      <c r="X1094">
        <f t="shared" si="123"/>
        <v>8</v>
      </c>
      <c r="Y1094" cm="1">
        <f t="array" ref="Y1094">_xlfn.IFS(H1094=0.1,1,H1094=0.15,1,H1094=0.05,1,H1094=0,0)</f>
        <v>1</v>
      </c>
      <c r="Z1094">
        <f t="shared" si="124"/>
        <v>6</v>
      </c>
      <c r="AA1094">
        <f t="shared" si="125"/>
        <v>2023</v>
      </c>
    </row>
    <row r="1095" spans="1:27" x14ac:dyDescent="0.3">
      <c r="A1095" s="2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62</v>
      </c>
      <c r="L1095" t="s">
        <v>35</v>
      </c>
      <c r="M1095">
        <v>0</v>
      </c>
      <c r="N1095" t="s">
        <v>2172</v>
      </c>
      <c r="O1095" t="s">
        <v>2173</v>
      </c>
      <c r="P1095">
        <v>34.69</v>
      </c>
      <c r="Q1095" s="2">
        <v>45253</v>
      </c>
      <c r="R1095" s="2">
        <v>45260</v>
      </c>
      <c r="S1095" t="s">
        <v>50</v>
      </c>
      <c r="T1095">
        <f t="shared" si="119"/>
        <v>1369.8700000000001</v>
      </c>
      <c r="U1095">
        <f t="shared" si="120"/>
        <v>15</v>
      </c>
      <c r="V1095">
        <f t="shared" si="121"/>
        <v>1570.8000000000002</v>
      </c>
      <c r="W1095">
        <f t="shared" si="122"/>
        <v>235.62000000000012</v>
      </c>
      <c r="X1095">
        <f t="shared" si="123"/>
        <v>7</v>
      </c>
      <c r="Y1095" cm="1">
        <f t="array" ref="Y1095">_xlfn.IFS(H1095=0.1,1,H1095=0.15,1,H1095=0.05,1,H1095=0,0)</f>
        <v>1</v>
      </c>
      <c r="Z1095">
        <f t="shared" si="124"/>
        <v>12</v>
      </c>
      <c r="AA1095">
        <f t="shared" si="125"/>
        <v>2023</v>
      </c>
    </row>
    <row r="1096" spans="1:27" x14ac:dyDescent="0.3">
      <c r="A1096" s="2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65</v>
      </c>
      <c r="L1096" t="s">
        <v>25</v>
      </c>
      <c r="M1096">
        <v>1</v>
      </c>
      <c r="N1096" t="s">
        <v>2174</v>
      </c>
      <c r="O1096" t="s">
        <v>2175</v>
      </c>
      <c r="P1096">
        <v>34.44</v>
      </c>
      <c r="Q1096" s="2">
        <v>45377</v>
      </c>
      <c r="R1096" s="2">
        <v>45387</v>
      </c>
      <c r="S1096" t="s">
        <v>44</v>
      </c>
      <c r="T1096">
        <f t="shared" si="119"/>
        <v>8297.134</v>
      </c>
      <c r="U1096">
        <f t="shared" si="120"/>
        <v>15</v>
      </c>
      <c r="V1096">
        <f t="shared" si="121"/>
        <v>9719.64</v>
      </c>
      <c r="W1096">
        <f t="shared" si="122"/>
        <v>1457.9459999999999</v>
      </c>
      <c r="X1096">
        <f t="shared" si="123"/>
        <v>10</v>
      </c>
      <c r="Y1096" cm="1">
        <f t="array" ref="Y1096">_xlfn.IFS(H1096=0.1,1,H1096=0.15,1,H1096=0.05,1,H1096=0,0)</f>
        <v>1</v>
      </c>
      <c r="Z1096">
        <f t="shared" si="124"/>
        <v>18</v>
      </c>
      <c r="AA1096">
        <f t="shared" si="125"/>
        <v>2024</v>
      </c>
    </row>
    <row r="1097" spans="1:27" x14ac:dyDescent="0.3">
      <c r="A1097" s="2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68</v>
      </c>
      <c r="J1097">
        <v>1613.1959999999999</v>
      </c>
      <c r="K1097" t="s">
        <v>58</v>
      </c>
      <c r="L1097" t="s">
        <v>59</v>
      </c>
      <c r="M1097">
        <v>0</v>
      </c>
      <c r="N1097" t="s">
        <v>2176</v>
      </c>
      <c r="O1097" t="s">
        <v>2177</v>
      </c>
      <c r="P1097">
        <v>20.21</v>
      </c>
      <c r="Q1097" s="2">
        <v>45560</v>
      </c>
      <c r="R1097" s="2">
        <v>45567</v>
      </c>
      <c r="S1097" t="s">
        <v>38</v>
      </c>
      <c r="T1097">
        <f t="shared" si="119"/>
        <v>1633.4059999999999</v>
      </c>
      <c r="U1097">
        <f t="shared" si="120"/>
        <v>10</v>
      </c>
      <c r="V1097">
        <f t="shared" si="121"/>
        <v>1792.44</v>
      </c>
      <c r="W1097">
        <f t="shared" si="122"/>
        <v>179.24400000000014</v>
      </c>
      <c r="X1097">
        <f t="shared" si="123"/>
        <v>7</v>
      </c>
      <c r="Y1097" cm="1">
        <f t="array" ref="Y1097">_xlfn.IFS(H1097=0.1,1,H1097=0.15,1,H1097=0.05,1,H1097=0,0)</f>
        <v>1</v>
      </c>
      <c r="Z1097">
        <f t="shared" si="124"/>
        <v>12</v>
      </c>
      <c r="AA1097">
        <f t="shared" si="125"/>
        <v>2024</v>
      </c>
    </row>
    <row r="1098" spans="1:27" x14ac:dyDescent="0.3">
      <c r="A1098" s="2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68</v>
      </c>
      <c r="J1098">
        <v>1747.77</v>
      </c>
      <c r="K1098" t="s">
        <v>65</v>
      </c>
      <c r="L1098" t="s">
        <v>41</v>
      </c>
      <c r="M1098">
        <v>1</v>
      </c>
      <c r="N1098" t="s">
        <v>2178</v>
      </c>
      <c r="O1098" t="s">
        <v>2179</v>
      </c>
      <c r="P1098">
        <v>5.35</v>
      </c>
      <c r="Q1098" s="2">
        <v>45022</v>
      </c>
      <c r="R1098" s="2">
        <v>45026</v>
      </c>
      <c r="S1098" t="s">
        <v>28</v>
      </c>
      <c r="T1098">
        <f t="shared" si="119"/>
        <v>1754.12</v>
      </c>
      <c r="U1098">
        <f t="shared" si="120"/>
        <v>15</v>
      </c>
      <c r="V1098">
        <f t="shared" si="121"/>
        <v>2056.1999999999998</v>
      </c>
      <c r="W1098">
        <f t="shared" si="122"/>
        <v>308.42999999999984</v>
      </c>
      <c r="X1098">
        <f t="shared" si="123"/>
        <v>4</v>
      </c>
      <c r="Y1098" cm="1">
        <f t="array" ref="Y1098">_xlfn.IFS(H1098=0.1,1,H1098=0.15,1,H1098=0.05,1,H1098=0,0)</f>
        <v>1</v>
      </c>
      <c r="Z1098">
        <f t="shared" si="124"/>
        <v>5</v>
      </c>
      <c r="AA1098">
        <f t="shared" si="125"/>
        <v>2023</v>
      </c>
    </row>
    <row r="1099" spans="1:27" x14ac:dyDescent="0.3">
      <c r="A1099" s="2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68</v>
      </c>
      <c r="J1099">
        <v>7035.4719999999998</v>
      </c>
      <c r="K1099" t="s">
        <v>65</v>
      </c>
      <c r="L1099" t="s">
        <v>59</v>
      </c>
      <c r="M1099">
        <v>1</v>
      </c>
      <c r="N1099" t="s">
        <v>2180</v>
      </c>
      <c r="O1099" t="s">
        <v>2181</v>
      </c>
      <c r="P1099">
        <v>17.43</v>
      </c>
      <c r="Q1099" s="2">
        <v>45467</v>
      </c>
      <c r="R1099" s="2">
        <v>45469</v>
      </c>
      <c r="S1099" t="s">
        <v>44</v>
      </c>
      <c r="T1099">
        <f t="shared" si="119"/>
        <v>7053.902</v>
      </c>
      <c r="U1099">
        <f t="shared" si="120"/>
        <v>5</v>
      </c>
      <c r="V1099">
        <f t="shared" si="121"/>
        <v>7405.76</v>
      </c>
      <c r="W1099">
        <f t="shared" si="122"/>
        <v>370.28800000000047</v>
      </c>
      <c r="X1099">
        <f t="shared" si="123"/>
        <v>2</v>
      </c>
      <c r="Y1099" cm="1">
        <f t="array" ref="Y1099">_xlfn.IFS(H1099=0.1,1,H1099=0.15,1,H1099=0.05,1,H1099=0,0)</f>
        <v>1</v>
      </c>
      <c r="Z1099">
        <f t="shared" si="124"/>
        <v>16</v>
      </c>
      <c r="AA1099">
        <f t="shared" si="125"/>
        <v>2024</v>
      </c>
    </row>
    <row r="1100" spans="1:27" x14ac:dyDescent="0.3">
      <c r="A1100" s="2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65</v>
      </c>
      <c r="L1100" t="s">
        <v>41</v>
      </c>
      <c r="M1100">
        <v>1</v>
      </c>
      <c r="N1100" t="s">
        <v>2182</v>
      </c>
      <c r="O1100" t="s">
        <v>2183</v>
      </c>
      <c r="P1100">
        <v>33.36</v>
      </c>
      <c r="Q1100" s="2">
        <v>45641</v>
      </c>
      <c r="R1100" s="2">
        <v>45649</v>
      </c>
      <c r="S1100" t="s">
        <v>38</v>
      </c>
      <c r="T1100">
        <f t="shared" si="119"/>
        <v>8642.82</v>
      </c>
      <c r="U1100">
        <f t="shared" si="120"/>
        <v>0</v>
      </c>
      <c r="V1100">
        <f t="shared" si="121"/>
        <v>8608.4599999999991</v>
      </c>
      <c r="W1100">
        <f t="shared" si="122"/>
        <v>0</v>
      </c>
      <c r="X1100">
        <f t="shared" si="123"/>
        <v>8</v>
      </c>
      <c r="Y1100" cm="1">
        <f t="array" ref="Y1100">_xlfn.IFS(H1100=0.1,1,H1100=0.15,1,H1100=0.05,1,H1100=0,0)</f>
        <v>0</v>
      </c>
      <c r="Z1100">
        <f t="shared" si="124"/>
        <v>0</v>
      </c>
      <c r="AA1100">
        <f t="shared" si="125"/>
        <v>2024</v>
      </c>
    </row>
    <row r="1101" spans="1:27" x14ac:dyDescent="0.3">
      <c r="A1101" s="2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68</v>
      </c>
      <c r="J1101">
        <v>486.59</v>
      </c>
      <c r="K1101" t="s">
        <v>34</v>
      </c>
      <c r="L1101" t="s">
        <v>59</v>
      </c>
      <c r="M1101">
        <v>0</v>
      </c>
      <c r="N1101" t="s">
        <v>2184</v>
      </c>
      <c r="O1101" t="s">
        <v>1071</v>
      </c>
      <c r="P1101">
        <v>30.32</v>
      </c>
      <c r="Q1101" s="2">
        <v>45568</v>
      </c>
      <c r="R1101" s="2">
        <v>45576</v>
      </c>
      <c r="S1101" t="s">
        <v>44</v>
      </c>
      <c r="T1101">
        <f t="shared" si="119"/>
        <v>516.91</v>
      </c>
      <c r="U1101">
        <f t="shared" si="120"/>
        <v>0</v>
      </c>
      <c r="V1101">
        <f t="shared" si="121"/>
        <v>486.59</v>
      </c>
      <c r="W1101">
        <f t="shared" si="122"/>
        <v>0</v>
      </c>
      <c r="X1101">
        <f t="shared" si="123"/>
        <v>8</v>
      </c>
      <c r="Y1101" cm="1">
        <f t="array" ref="Y1101">_xlfn.IFS(H1101=0.1,1,H1101=0.15,1,H1101=0.05,1,H1101=0,0)</f>
        <v>0</v>
      </c>
      <c r="Z1101">
        <f t="shared" si="124"/>
        <v>0</v>
      </c>
      <c r="AA1101">
        <f t="shared" si="125"/>
        <v>2024</v>
      </c>
    </row>
    <row r="1102" spans="1:27" x14ac:dyDescent="0.3">
      <c r="A1102" s="2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2185</v>
      </c>
      <c r="O1102" t="s">
        <v>2186</v>
      </c>
      <c r="P1102">
        <v>25.05</v>
      </c>
      <c r="Q1102" s="2">
        <v>45172</v>
      </c>
      <c r="R1102" s="2">
        <v>45182</v>
      </c>
      <c r="S1102" t="s">
        <v>38</v>
      </c>
      <c r="T1102">
        <f t="shared" si="119"/>
        <v>1801.36</v>
      </c>
      <c r="U1102">
        <f t="shared" si="120"/>
        <v>5</v>
      </c>
      <c r="V1102">
        <f t="shared" si="121"/>
        <v>1869.8</v>
      </c>
      <c r="W1102">
        <f t="shared" si="122"/>
        <v>93.490000000000009</v>
      </c>
      <c r="X1102">
        <f t="shared" si="123"/>
        <v>10</v>
      </c>
      <c r="Y1102" cm="1">
        <f t="array" ref="Y1102">_xlfn.IFS(H1102=0.1,1,H1102=0.15,1,H1102=0.05,1,H1102=0,0)</f>
        <v>1</v>
      </c>
      <c r="Z1102">
        <f t="shared" si="124"/>
        <v>4</v>
      </c>
      <c r="AA1102">
        <f t="shared" si="125"/>
        <v>2023</v>
      </c>
    </row>
    <row r="1103" spans="1:27" x14ac:dyDescent="0.3">
      <c r="A1103" s="2">
        <v>44955</v>
      </c>
      <c r="B1103" t="s">
        <v>39</v>
      </c>
      <c r="C1103" t="s">
        <v>132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2187</v>
      </c>
      <c r="O1103" t="s">
        <v>1491</v>
      </c>
      <c r="P1103">
        <v>43.81</v>
      </c>
      <c r="Q1103" s="2">
        <v>44955</v>
      </c>
      <c r="R1103" s="2">
        <v>44962</v>
      </c>
      <c r="S1103" t="s">
        <v>44</v>
      </c>
      <c r="T1103">
        <f t="shared" si="119"/>
        <v>1238.06</v>
      </c>
      <c r="U1103">
        <f t="shared" si="120"/>
        <v>15</v>
      </c>
      <c r="V1103">
        <f t="shared" si="121"/>
        <v>1405</v>
      </c>
      <c r="W1103">
        <f t="shared" si="122"/>
        <v>210.75</v>
      </c>
      <c r="X1103">
        <f t="shared" si="123"/>
        <v>7</v>
      </c>
      <c r="Y1103" cm="1">
        <f t="array" ref="Y1103">_xlfn.IFS(H1103=0.1,1,H1103=0.15,1,H1103=0.05,1,H1103=0,0)</f>
        <v>1</v>
      </c>
      <c r="Z1103">
        <f t="shared" si="124"/>
        <v>10</v>
      </c>
      <c r="AA1103">
        <f t="shared" si="125"/>
        <v>2023</v>
      </c>
    </row>
    <row r="1104" spans="1:27" x14ac:dyDescent="0.3">
      <c r="A1104" s="2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2188</v>
      </c>
      <c r="O1104" t="s">
        <v>2189</v>
      </c>
      <c r="P1104">
        <v>49.82</v>
      </c>
      <c r="Q1104" s="2">
        <v>45455</v>
      </c>
      <c r="R1104" s="2">
        <v>45463</v>
      </c>
      <c r="S1104" t="s">
        <v>44</v>
      </c>
      <c r="T1104">
        <f t="shared" si="119"/>
        <v>513.62</v>
      </c>
      <c r="U1104">
        <f t="shared" si="120"/>
        <v>0</v>
      </c>
      <c r="V1104">
        <f t="shared" si="121"/>
        <v>462.8</v>
      </c>
      <c r="W1104">
        <f t="shared" si="122"/>
        <v>0</v>
      </c>
      <c r="X1104">
        <f t="shared" si="123"/>
        <v>8</v>
      </c>
      <c r="Y1104" cm="1">
        <f t="array" ref="Y1104">_xlfn.IFS(H1104=0.1,1,H1104=0.15,1,H1104=0.05,1,H1104=0,0)</f>
        <v>0</v>
      </c>
      <c r="Z1104">
        <f t="shared" si="124"/>
        <v>0</v>
      </c>
      <c r="AA1104">
        <f t="shared" si="125"/>
        <v>2024</v>
      </c>
    </row>
    <row r="1105" spans="1:27" x14ac:dyDescent="0.3">
      <c r="A1105" s="2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L1105" t="s">
        <v>59</v>
      </c>
      <c r="M1105">
        <v>0</v>
      </c>
      <c r="N1105" t="s">
        <v>2190</v>
      </c>
      <c r="O1105" t="s">
        <v>2191</v>
      </c>
      <c r="P1105">
        <v>16.079999999999998</v>
      </c>
      <c r="Q1105" s="2">
        <v>45620</v>
      </c>
      <c r="R1105" s="2">
        <v>45629</v>
      </c>
      <c r="S1105" t="s">
        <v>44</v>
      </c>
      <c r="T1105">
        <f t="shared" si="119"/>
        <v>4144.326</v>
      </c>
      <c r="U1105">
        <f t="shared" si="120"/>
        <v>15</v>
      </c>
      <c r="V1105">
        <f t="shared" si="121"/>
        <v>4856.76</v>
      </c>
      <c r="W1105">
        <f t="shared" si="122"/>
        <v>728.51400000000012</v>
      </c>
      <c r="X1105">
        <f t="shared" si="123"/>
        <v>9</v>
      </c>
      <c r="Y1105" cm="1">
        <f t="array" ref="Y1105">_xlfn.IFS(H1105=0.1,1,H1105=0.15,1,H1105=0.05,1,H1105=0,0)</f>
        <v>1</v>
      </c>
      <c r="Z1105">
        <f t="shared" si="124"/>
        <v>9</v>
      </c>
      <c r="AA1105">
        <f t="shared" si="125"/>
        <v>2024</v>
      </c>
    </row>
    <row r="1106" spans="1:27" x14ac:dyDescent="0.3">
      <c r="A1106" s="2">
        <v>45153</v>
      </c>
      <c r="B1106" t="s">
        <v>71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2192</v>
      </c>
      <c r="O1106" t="s">
        <v>2193</v>
      </c>
      <c r="P1106">
        <v>47.43</v>
      </c>
      <c r="Q1106" s="2">
        <v>45153</v>
      </c>
      <c r="R1106" s="2">
        <v>45158</v>
      </c>
      <c r="S1106" t="s">
        <v>74</v>
      </c>
      <c r="T1106">
        <f t="shared" si="119"/>
        <v>8622.19</v>
      </c>
      <c r="U1106">
        <f t="shared" si="120"/>
        <v>0</v>
      </c>
      <c r="V1106">
        <f t="shared" si="121"/>
        <v>8573.76</v>
      </c>
      <c r="W1106">
        <f t="shared" si="122"/>
        <v>0</v>
      </c>
      <c r="X1106">
        <f t="shared" si="123"/>
        <v>5</v>
      </c>
      <c r="Y1106" cm="1">
        <f t="array" ref="Y1106">_xlfn.IFS(H1106=0.1,1,H1106=0.15,1,H1106=0.05,1,H1106=0,0)</f>
        <v>0</v>
      </c>
      <c r="Z1106">
        <f t="shared" si="124"/>
        <v>0</v>
      </c>
      <c r="AA1106">
        <f t="shared" si="125"/>
        <v>2023</v>
      </c>
    </row>
    <row r="1107" spans="1:27" x14ac:dyDescent="0.3">
      <c r="A1107" s="2">
        <v>45525</v>
      </c>
      <c r="B1107" t="s">
        <v>45</v>
      </c>
      <c r="C1107" t="s">
        <v>81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62</v>
      </c>
      <c r="L1107" t="s">
        <v>25</v>
      </c>
      <c r="M1107">
        <v>0</v>
      </c>
      <c r="N1107" t="s">
        <v>2194</v>
      </c>
      <c r="O1107" t="s">
        <v>2195</v>
      </c>
      <c r="P1107">
        <v>6.85</v>
      </c>
      <c r="Q1107" s="2">
        <v>45525</v>
      </c>
      <c r="R1107" s="2">
        <v>45534</v>
      </c>
      <c r="S1107" t="s">
        <v>50</v>
      </c>
      <c r="T1107">
        <f t="shared" si="119"/>
        <v>1430.9649999999999</v>
      </c>
      <c r="U1107">
        <f t="shared" si="120"/>
        <v>10</v>
      </c>
      <c r="V1107">
        <f t="shared" si="121"/>
        <v>1582.35</v>
      </c>
      <c r="W1107">
        <f t="shared" si="122"/>
        <v>158.2349999999999</v>
      </c>
      <c r="X1107">
        <f t="shared" si="123"/>
        <v>9</v>
      </c>
      <c r="Y1107" cm="1">
        <f t="array" ref="Y1107">_xlfn.IFS(H1107=0.1,1,H1107=0.15,1,H1107=0.05,1,H1107=0,0)</f>
        <v>1</v>
      </c>
      <c r="Z1107">
        <f t="shared" si="124"/>
        <v>11</v>
      </c>
      <c r="AA1107">
        <f t="shared" si="125"/>
        <v>2024</v>
      </c>
    </row>
    <row r="1108" spans="1:27" x14ac:dyDescent="0.3">
      <c r="A1108" s="2">
        <v>45070</v>
      </c>
      <c r="B1108" t="s">
        <v>71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2196</v>
      </c>
      <c r="O1108" t="s">
        <v>2197</v>
      </c>
      <c r="P1108">
        <v>32.92</v>
      </c>
      <c r="Q1108" s="2">
        <v>45070</v>
      </c>
      <c r="R1108" s="2">
        <v>45078</v>
      </c>
      <c r="S1108" t="s">
        <v>74</v>
      </c>
      <c r="T1108">
        <f t="shared" si="119"/>
        <v>1197.9880000000001</v>
      </c>
      <c r="U1108">
        <f t="shared" si="120"/>
        <v>10</v>
      </c>
      <c r="V1108">
        <f t="shared" si="121"/>
        <v>1294.52</v>
      </c>
      <c r="W1108">
        <f t="shared" si="122"/>
        <v>129.452</v>
      </c>
      <c r="X1108">
        <f t="shared" si="123"/>
        <v>8</v>
      </c>
      <c r="Y1108" cm="1">
        <f t="array" ref="Y1108">_xlfn.IFS(H1108=0.1,1,H1108=0.15,1,H1108=0.05,1,H1108=0,0)</f>
        <v>1</v>
      </c>
      <c r="Z1108">
        <f t="shared" si="124"/>
        <v>4</v>
      </c>
      <c r="AA1108">
        <f t="shared" si="125"/>
        <v>2023</v>
      </c>
    </row>
    <row r="1109" spans="1:27" x14ac:dyDescent="0.3">
      <c r="A1109" s="2">
        <v>45043</v>
      </c>
      <c r="B1109" t="s">
        <v>71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68</v>
      </c>
      <c r="J1109">
        <v>568.4799999999999</v>
      </c>
      <c r="K1109" t="s">
        <v>58</v>
      </c>
      <c r="L1109" t="s">
        <v>25</v>
      </c>
      <c r="M1109">
        <v>0</v>
      </c>
      <c r="N1109" t="s">
        <v>2198</v>
      </c>
      <c r="O1109" t="s">
        <v>2199</v>
      </c>
      <c r="P1109">
        <v>49.55</v>
      </c>
      <c r="Q1109" s="2">
        <v>45043</v>
      </c>
      <c r="R1109" s="2">
        <v>45047</v>
      </c>
      <c r="S1109" t="s">
        <v>74</v>
      </c>
      <c r="T1109">
        <f t="shared" si="119"/>
        <v>618.02999999999986</v>
      </c>
      <c r="U1109">
        <f t="shared" si="120"/>
        <v>5</v>
      </c>
      <c r="V1109">
        <f t="shared" si="121"/>
        <v>598.4</v>
      </c>
      <c r="W1109">
        <f t="shared" si="122"/>
        <v>29.920000000000073</v>
      </c>
      <c r="X1109">
        <f t="shared" si="123"/>
        <v>4</v>
      </c>
      <c r="Y1109" cm="1">
        <f t="array" ref="Y1109">_xlfn.IFS(H1109=0.1,1,H1109=0.15,1,H1109=0.05,1,H1109=0,0)</f>
        <v>1</v>
      </c>
      <c r="Z1109">
        <f t="shared" si="124"/>
        <v>16</v>
      </c>
      <c r="AA1109">
        <f t="shared" si="125"/>
        <v>2023</v>
      </c>
    </row>
    <row r="1110" spans="1:27" x14ac:dyDescent="0.3">
      <c r="A1110" s="2">
        <v>45067</v>
      </c>
      <c r="B1110" t="s">
        <v>19</v>
      </c>
      <c r="C1110" t="s">
        <v>81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377.08200000000011</v>
      </c>
      <c r="K1110" t="s">
        <v>34</v>
      </c>
      <c r="L1110" t="s">
        <v>25</v>
      </c>
      <c r="M1110">
        <v>0</v>
      </c>
      <c r="N1110" t="s">
        <v>2200</v>
      </c>
      <c r="O1110" t="s">
        <v>2201</v>
      </c>
      <c r="P1110">
        <v>43.72</v>
      </c>
      <c r="Q1110" s="2">
        <v>45067</v>
      </c>
      <c r="R1110" s="2">
        <v>45072</v>
      </c>
      <c r="S1110" t="s">
        <v>28</v>
      </c>
      <c r="T1110">
        <f t="shared" si="119"/>
        <v>420.80200000000013</v>
      </c>
      <c r="U1110">
        <f t="shared" si="120"/>
        <v>10</v>
      </c>
      <c r="V1110">
        <f t="shared" si="121"/>
        <v>418.98</v>
      </c>
      <c r="W1110">
        <f t="shared" si="122"/>
        <v>41.897999999999911</v>
      </c>
      <c r="X1110">
        <f t="shared" si="123"/>
        <v>5</v>
      </c>
      <c r="Y1110" cm="1">
        <f t="array" ref="Y1110">_xlfn.IFS(H1110=0.1,1,H1110=0.15,1,H1110=0.05,1,H1110=0,0)</f>
        <v>1</v>
      </c>
      <c r="Z1110">
        <f t="shared" si="124"/>
        <v>1</v>
      </c>
      <c r="AA1110">
        <f t="shared" si="125"/>
        <v>2023</v>
      </c>
    </row>
    <row r="1111" spans="1:27" x14ac:dyDescent="0.3">
      <c r="A1111" s="2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2202</v>
      </c>
      <c r="O1111" t="s">
        <v>2203</v>
      </c>
      <c r="P1111">
        <v>42.06</v>
      </c>
      <c r="Q1111" s="2">
        <v>45704</v>
      </c>
      <c r="R1111" s="2">
        <v>45713</v>
      </c>
      <c r="S1111" t="s">
        <v>28</v>
      </c>
      <c r="T1111">
        <f t="shared" si="119"/>
        <v>1342.26</v>
      </c>
      <c r="U1111">
        <f t="shared" si="120"/>
        <v>0</v>
      </c>
      <c r="V1111">
        <f t="shared" si="121"/>
        <v>1300.1999999999998</v>
      </c>
      <c r="W1111">
        <f t="shared" si="122"/>
        <v>0</v>
      </c>
      <c r="X1111">
        <f t="shared" si="123"/>
        <v>9</v>
      </c>
      <c r="Y1111" cm="1">
        <f t="array" ref="Y1111">_xlfn.IFS(H1111=0.1,1,H1111=0.15,1,H1111=0.05,1,H1111=0,0)</f>
        <v>0</v>
      </c>
      <c r="Z1111">
        <f t="shared" si="124"/>
        <v>0</v>
      </c>
      <c r="AA1111">
        <f t="shared" si="125"/>
        <v>2025</v>
      </c>
    </row>
    <row r="1112" spans="1:27" x14ac:dyDescent="0.3">
      <c r="A1112" s="2">
        <v>45162</v>
      </c>
      <c r="B1112" t="s">
        <v>19</v>
      </c>
      <c r="C1112" t="s">
        <v>81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2204</v>
      </c>
      <c r="O1112" t="s">
        <v>2205</v>
      </c>
      <c r="P1112">
        <v>28.74</v>
      </c>
      <c r="Q1112" s="2">
        <v>45162</v>
      </c>
      <c r="R1112" s="2">
        <v>45167</v>
      </c>
      <c r="S1112" t="s">
        <v>28</v>
      </c>
      <c r="T1112">
        <f t="shared" si="119"/>
        <v>1310.84</v>
      </c>
      <c r="U1112">
        <f t="shared" si="120"/>
        <v>0</v>
      </c>
      <c r="V1112">
        <f t="shared" si="121"/>
        <v>1282.1000000000001</v>
      </c>
      <c r="W1112">
        <f t="shared" si="122"/>
        <v>0</v>
      </c>
      <c r="X1112">
        <f t="shared" si="123"/>
        <v>5</v>
      </c>
      <c r="Y1112" cm="1">
        <f t="array" ref="Y1112">_xlfn.IFS(H1112=0.1,1,H1112=0.15,1,H1112=0.05,1,H1112=0,0)</f>
        <v>0</v>
      </c>
      <c r="Z1112">
        <f t="shared" si="124"/>
        <v>0</v>
      </c>
      <c r="AA1112">
        <f t="shared" si="125"/>
        <v>2023</v>
      </c>
    </row>
    <row r="1113" spans="1:27" x14ac:dyDescent="0.3">
      <c r="A1113" s="2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2206</v>
      </c>
      <c r="O1113" t="s">
        <v>2207</v>
      </c>
      <c r="P1113">
        <v>39.26</v>
      </c>
      <c r="Q1113" s="2">
        <v>45365</v>
      </c>
      <c r="R1113" s="2">
        <v>45372</v>
      </c>
      <c r="S1113" t="s">
        <v>28</v>
      </c>
      <c r="T1113">
        <f t="shared" si="119"/>
        <v>7885.9639999999999</v>
      </c>
      <c r="U1113">
        <f t="shared" si="120"/>
        <v>10</v>
      </c>
      <c r="V1113">
        <f t="shared" si="121"/>
        <v>8718.56</v>
      </c>
      <c r="W1113">
        <f t="shared" si="122"/>
        <v>871.85599999999977</v>
      </c>
      <c r="X1113">
        <f t="shared" si="123"/>
        <v>7</v>
      </c>
      <c r="Y1113" cm="1">
        <f t="array" ref="Y1113">_xlfn.IFS(H1113=0.1,1,H1113=0.15,1,H1113=0.05,1,H1113=0,0)</f>
        <v>1</v>
      </c>
      <c r="Z1113">
        <f t="shared" si="124"/>
        <v>16</v>
      </c>
      <c r="AA1113">
        <f t="shared" si="125"/>
        <v>2024</v>
      </c>
    </row>
    <row r="1114" spans="1:27" x14ac:dyDescent="0.3">
      <c r="A1114" s="2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62</v>
      </c>
      <c r="L1114" t="s">
        <v>41</v>
      </c>
      <c r="M1114">
        <v>0</v>
      </c>
      <c r="N1114" t="s">
        <v>2208</v>
      </c>
      <c r="O1114" t="s">
        <v>2209</v>
      </c>
      <c r="P1114">
        <v>44.96</v>
      </c>
      <c r="Q1114" s="2">
        <v>45320</v>
      </c>
      <c r="R1114" s="2">
        <v>45329</v>
      </c>
      <c r="S1114" t="s">
        <v>44</v>
      </c>
      <c r="T1114">
        <f t="shared" si="119"/>
        <v>2199.94</v>
      </c>
      <c r="U1114">
        <f t="shared" si="120"/>
        <v>0</v>
      </c>
      <c r="V1114">
        <f t="shared" si="121"/>
        <v>2154.98</v>
      </c>
      <c r="W1114">
        <f t="shared" si="122"/>
        <v>0</v>
      </c>
      <c r="X1114">
        <f t="shared" si="123"/>
        <v>9</v>
      </c>
      <c r="Y1114" cm="1">
        <f t="array" ref="Y1114">_xlfn.IFS(H1114=0.1,1,H1114=0.15,1,H1114=0.05,1,H1114=0,0)</f>
        <v>0</v>
      </c>
      <c r="Z1114">
        <f t="shared" si="124"/>
        <v>0</v>
      </c>
      <c r="AA1114">
        <f t="shared" si="125"/>
        <v>2024</v>
      </c>
    </row>
    <row r="1115" spans="1:27" x14ac:dyDescent="0.3">
      <c r="A1115" s="2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68</v>
      </c>
      <c r="J1115">
        <v>4704.5700000000006</v>
      </c>
      <c r="K1115" t="s">
        <v>58</v>
      </c>
      <c r="L1115" t="s">
        <v>59</v>
      </c>
      <c r="M1115">
        <v>0</v>
      </c>
      <c r="N1115" t="s">
        <v>2210</v>
      </c>
      <c r="O1115" t="s">
        <v>2211</v>
      </c>
      <c r="P1115">
        <v>20.059999999999999</v>
      </c>
      <c r="Q1115" s="2">
        <v>45513</v>
      </c>
      <c r="R1115" s="2">
        <v>45519</v>
      </c>
      <c r="S1115" t="s">
        <v>38</v>
      </c>
      <c r="T1115">
        <f t="shared" si="119"/>
        <v>4724.630000000001</v>
      </c>
      <c r="U1115">
        <f t="shared" si="120"/>
        <v>10</v>
      </c>
      <c r="V1115">
        <f t="shared" si="121"/>
        <v>5227.3</v>
      </c>
      <c r="W1115">
        <f t="shared" si="122"/>
        <v>522.72999999999956</v>
      </c>
      <c r="X1115">
        <f t="shared" si="123"/>
        <v>6</v>
      </c>
      <c r="Y1115" cm="1">
        <f t="array" ref="Y1115">_xlfn.IFS(H1115=0.1,1,H1115=0.15,1,H1115=0.05,1,H1115=0,0)</f>
        <v>1</v>
      </c>
      <c r="Z1115">
        <f t="shared" si="124"/>
        <v>10</v>
      </c>
      <c r="AA1115">
        <f t="shared" si="125"/>
        <v>2024</v>
      </c>
    </row>
    <row r="1116" spans="1:27" x14ac:dyDescent="0.3">
      <c r="A1116" s="2">
        <v>45481</v>
      </c>
      <c r="B1116" t="s">
        <v>39</v>
      </c>
      <c r="C1116" t="s">
        <v>81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6854.8589999999986</v>
      </c>
      <c r="K1116" t="s">
        <v>65</v>
      </c>
      <c r="L1116" t="s">
        <v>41</v>
      </c>
      <c r="M1116">
        <v>1</v>
      </c>
      <c r="N1116" t="s">
        <v>2212</v>
      </c>
      <c r="O1116" t="s">
        <v>2213</v>
      </c>
      <c r="P1116">
        <v>13.23</v>
      </c>
      <c r="Q1116" s="2">
        <v>45481</v>
      </c>
      <c r="R1116" s="2">
        <v>45490</v>
      </c>
      <c r="S1116" t="s">
        <v>44</v>
      </c>
      <c r="T1116">
        <f t="shared" si="119"/>
        <v>6869.0889999999981</v>
      </c>
      <c r="U1116">
        <f t="shared" si="120"/>
        <v>15</v>
      </c>
      <c r="V1116">
        <f t="shared" si="121"/>
        <v>8064.5399999999991</v>
      </c>
      <c r="W1116">
        <f t="shared" si="122"/>
        <v>1209.6810000000005</v>
      </c>
      <c r="X1116">
        <f t="shared" si="123"/>
        <v>9</v>
      </c>
      <c r="Y1116" cm="1">
        <f t="array" ref="Y1116">_xlfn.IFS(H1116=0.1,1,H1116=0.15,1,H1116=0.05,1,H1116=0,0)</f>
        <v>1</v>
      </c>
      <c r="Z1116">
        <f t="shared" si="124"/>
        <v>18</v>
      </c>
      <c r="AA1116">
        <f t="shared" si="125"/>
        <v>2024</v>
      </c>
    </row>
    <row r="1117" spans="1:27" x14ac:dyDescent="0.3">
      <c r="A1117" s="2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</v>
      </c>
      <c r="K1117" t="s">
        <v>34</v>
      </c>
      <c r="L1117" t="s">
        <v>59</v>
      </c>
      <c r="M1117">
        <v>0</v>
      </c>
      <c r="N1117" t="s">
        <v>2214</v>
      </c>
      <c r="O1117" t="s">
        <v>2215</v>
      </c>
      <c r="P1117">
        <v>37.81</v>
      </c>
      <c r="Q1117" s="2">
        <v>45524</v>
      </c>
      <c r="R1117" s="2">
        <v>45533</v>
      </c>
      <c r="S1117" t="s">
        <v>44</v>
      </c>
      <c r="T1117">
        <f t="shared" si="119"/>
        <v>3009.077499999999</v>
      </c>
      <c r="U1117">
        <f t="shared" si="120"/>
        <v>5</v>
      </c>
      <c r="V1117">
        <f t="shared" si="121"/>
        <v>3127.6499999999996</v>
      </c>
      <c r="W1117">
        <f t="shared" si="122"/>
        <v>156.38250000000062</v>
      </c>
      <c r="X1117">
        <f t="shared" si="123"/>
        <v>9</v>
      </c>
      <c r="Y1117" cm="1">
        <f t="array" ref="Y1117">_xlfn.IFS(H1117=0.1,1,H1117=0.15,1,H1117=0.05,1,H1117=0,0)</f>
        <v>1</v>
      </c>
      <c r="Z1117">
        <f t="shared" si="124"/>
        <v>15</v>
      </c>
      <c r="AA1117">
        <f t="shared" si="125"/>
        <v>2024</v>
      </c>
    </row>
    <row r="1118" spans="1:27" x14ac:dyDescent="0.3">
      <c r="A1118" s="2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62</v>
      </c>
      <c r="L1118" t="s">
        <v>59</v>
      </c>
      <c r="M1118">
        <v>1</v>
      </c>
      <c r="N1118" t="s">
        <v>2216</v>
      </c>
      <c r="O1118" t="s">
        <v>2217</v>
      </c>
      <c r="P1118">
        <v>23.31</v>
      </c>
      <c r="Q1118" s="2">
        <v>45103</v>
      </c>
      <c r="R1118" s="2">
        <v>45105</v>
      </c>
      <c r="S1118" t="s">
        <v>50</v>
      </c>
      <c r="T1118">
        <f t="shared" si="119"/>
        <v>4980.8980000000001</v>
      </c>
      <c r="U1118">
        <f t="shared" si="120"/>
        <v>10</v>
      </c>
      <c r="V1118">
        <f t="shared" si="121"/>
        <v>5507.32</v>
      </c>
      <c r="W1118">
        <f t="shared" si="122"/>
        <v>550.73199999999997</v>
      </c>
      <c r="X1118">
        <f t="shared" si="123"/>
        <v>2</v>
      </c>
      <c r="Y1118" cm="1">
        <f t="array" ref="Y1118">_xlfn.IFS(H1118=0.1,1,H1118=0.15,1,H1118=0.05,1,H1118=0,0)</f>
        <v>1</v>
      </c>
      <c r="Z1118">
        <f t="shared" si="124"/>
        <v>13</v>
      </c>
      <c r="AA1118">
        <f t="shared" si="125"/>
        <v>2023</v>
      </c>
    </row>
    <row r="1119" spans="1:27" x14ac:dyDescent="0.3">
      <c r="A1119" s="2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62</v>
      </c>
      <c r="L1119" t="s">
        <v>41</v>
      </c>
      <c r="M1119">
        <v>0</v>
      </c>
      <c r="N1119" t="s">
        <v>2218</v>
      </c>
      <c r="O1119" t="s">
        <v>2219</v>
      </c>
      <c r="P1119">
        <v>26.5</v>
      </c>
      <c r="Q1119" s="2">
        <v>45283</v>
      </c>
      <c r="R1119" s="2">
        <v>45285</v>
      </c>
      <c r="S1119" t="s">
        <v>28</v>
      </c>
      <c r="T1119">
        <f t="shared" si="119"/>
        <v>2373.605</v>
      </c>
      <c r="U1119">
        <f t="shared" si="120"/>
        <v>15</v>
      </c>
      <c r="V1119">
        <f t="shared" si="121"/>
        <v>2761.3</v>
      </c>
      <c r="W1119">
        <f t="shared" si="122"/>
        <v>414.19500000000016</v>
      </c>
      <c r="X1119">
        <f t="shared" si="123"/>
        <v>2</v>
      </c>
      <c r="Y1119" cm="1">
        <f t="array" ref="Y1119">_xlfn.IFS(H1119=0.1,1,H1119=0.15,1,H1119=0.05,1,H1119=0,0)</f>
        <v>1</v>
      </c>
      <c r="Z1119">
        <f t="shared" si="124"/>
        <v>5</v>
      </c>
      <c r="AA1119">
        <f t="shared" si="125"/>
        <v>2023</v>
      </c>
    </row>
    <row r="1120" spans="1:27" x14ac:dyDescent="0.3">
      <c r="A1120" s="2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2220</v>
      </c>
      <c r="O1120" t="s">
        <v>2221</v>
      </c>
      <c r="P1120">
        <v>7.31</v>
      </c>
      <c r="Q1120" s="2">
        <v>45158</v>
      </c>
      <c r="R1120" s="2">
        <v>45165</v>
      </c>
      <c r="S1120" t="s">
        <v>50</v>
      </c>
      <c r="T1120">
        <f t="shared" si="119"/>
        <v>171.209</v>
      </c>
      <c r="U1120">
        <f t="shared" si="120"/>
        <v>10</v>
      </c>
      <c r="V1120">
        <f t="shared" si="121"/>
        <v>182.11</v>
      </c>
      <c r="W1120">
        <f t="shared" si="122"/>
        <v>18.211000000000013</v>
      </c>
      <c r="X1120">
        <f t="shared" si="123"/>
        <v>7</v>
      </c>
      <c r="Y1120" cm="1">
        <f t="array" ref="Y1120">_xlfn.IFS(H1120=0.1,1,H1120=0.15,1,H1120=0.05,1,H1120=0,0)</f>
        <v>1</v>
      </c>
      <c r="Z1120">
        <f t="shared" si="124"/>
        <v>1</v>
      </c>
      <c r="AA1120">
        <f t="shared" si="125"/>
        <v>2023</v>
      </c>
    </row>
    <row r="1121" spans="1:27" x14ac:dyDescent="0.3">
      <c r="A1121" s="2">
        <v>45593</v>
      </c>
      <c r="B1121" t="s">
        <v>71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68</v>
      </c>
      <c r="J1121">
        <v>3101.2939999999999</v>
      </c>
      <c r="K1121" t="s">
        <v>24</v>
      </c>
      <c r="L1121" t="s">
        <v>35</v>
      </c>
      <c r="M1121">
        <v>1</v>
      </c>
      <c r="N1121" t="s">
        <v>2222</v>
      </c>
      <c r="O1121" t="s">
        <v>2223</v>
      </c>
      <c r="P1121">
        <v>11.45</v>
      </c>
      <c r="Q1121" s="2">
        <v>45593</v>
      </c>
      <c r="R1121" s="2">
        <v>45602</v>
      </c>
      <c r="S1121" t="s">
        <v>74</v>
      </c>
      <c r="T1121">
        <f t="shared" si="119"/>
        <v>3113.7439999999997</v>
      </c>
      <c r="U1121">
        <f t="shared" si="120"/>
        <v>5</v>
      </c>
      <c r="V1121">
        <f t="shared" si="121"/>
        <v>3264.52</v>
      </c>
      <c r="W1121">
        <f t="shared" si="122"/>
        <v>163.22600000000011</v>
      </c>
      <c r="X1121">
        <f t="shared" si="123"/>
        <v>9</v>
      </c>
      <c r="Y1121" cm="1">
        <f t="array" ref="Y1121">_xlfn.IFS(H1121=0.1,1,H1121=0.15,1,H1121=0.05,1,H1121=0,0)</f>
        <v>1</v>
      </c>
      <c r="Z1121">
        <f t="shared" si="124"/>
        <v>7</v>
      </c>
      <c r="AA1121">
        <f t="shared" si="125"/>
        <v>2024</v>
      </c>
    </row>
    <row r="1122" spans="1:27" x14ac:dyDescent="0.3">
      <c r="A1122" s="2">
        <v>45607</v>
      </c>
      <c r="B1122" t="s">
        <v>19</v>
      </c>
      <c r="C1122" t="s">
        <v>132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2224</v>
      </c>
      <c r="O1122" t="s">
        <v>2225</v>
      </c>
      <c r="P1122">
        <v>49.91</v>
      </c>
      <c r="Q1122" s="2">
        <v>45607</v>
      </c>
      <c r="R1122" s="2">
        <v>45617</v>
      </c>
      <c r="S1122" t="s">
        <v>28</v>
      </c>
      <c r="T1122">
        <f t="shared" si="119"/>
        <v>1947.2</v>
      </c>
      <c r="U1122">
        <f t="shared" si="120"/>
        <v>10</v>
      </c>
      <c r="V1122">
        <f t="shared" si="121"/>
        <v>2108.1</v>
      </c>
      <c r="W1122">
        <f t="shared" si="122"/>
        <v>210.80999999999995</v>
      </c>
      <c r="X1122">
        <f t="shared" si="123"/>
        <v>10</v>
      </c>
      <c r="Y1122" cm="1">
        <f t="array" ref="Y1122">_xlfn.IFS(H1122=0.1,1,H1122=0.15,1,H1122=0.05,1,H1122=0,0)</f>
        <v>1</v>
      </c>
      <c r="Z1122">
        <f t="shared" si="124"/>
        <v>15</v>
      </c>
      <c r="AA1122">
        <f t="shared" si="125"/>
        <v>2024</v>
      </c>
    </row>
    <row r="1123" spans="1:27" x14ac:dyDescent="0.3">
      <c r="A1123" s="2">
        <v>45267</v>
      </c>
      <c r="B1123" t="s">
        <v>71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2226</v>
      </c>
      <c r="O1123" t="s">
        <v>2227</v>
      </c>
      <c r="P1123">
        <v>40.18</v>
      </c>
      <c r="Q1123" s="2">
        <v>45267</v>
      </c>
      <c r="R1123" s="2">
        <v>45275</v>
      </c>
      <c r="S1123" t="s">
        <v>74</v>
      </c>
      <c r="T1123">
        <f t="shared" si="119"/>
        <v>6691.6595000000007</v>
      </c>
      <c r="U1123">
        <f t="shared" si="120"/>
        <v>15</v>
      </c>
      <c r="V1123">
        <f t="shared" si="121"/>
        <v>7825.27</v>
      </c>
      <c r="W1123">
        <f t="shared" si="122"/>
        <v>1173.7905000000001</v>
      </c>
      <c r="X1123">
        <f t="shared" si="123"/>
        <v>8</v>
      </c>
      <c r="Y1123" cm="1">
        <f t="array" ref="Y1123">_xlfn.IFS(H1123=0.1,1,H1123=0.15,1,H1123=0.05,1,H1123=0,0)</f>
        <v>1</v>
      </c>
      <c r="Z1123">
        <f t="shared" si="124"/>
        <v>17</v>
      </c>
      <c r="AA1123">
        <f t="shared" si="125"/>
        <v>2023</v>
      </c>
    </row>
    <row r="1124" spans="1:27" x14ac:dyDescent="0.3">
      <c r="A1124" s="2">
        <v>45374</v>
      </c>
      <c r="B1124" t="s">
        <v>71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68</v>
      </c>
      <c r="J1124">
        <v>664.35</v>
      </c>
      <c r="K1124" t="s">
        <v>62</v>
      </c>
      <c r="L1124" t="s">
        <v>41</v>
      </c>
      <c r="M1124">
        <v>0</v>
      </c>
      <c r="N1124" t="s">
        <v>2228</v>
      </c>
      <c r="O1124" t="s">
        <v>2229</v>
      </c>
      <c r="P1124">
        <v>37.909999999999997</v>
      </c>
      <c r="Q1124" s="2">
        <v>45374</v>
      </c>
      <c r="R1124" s="2">
        <v>45384</v>
      </c>
      <c r="S1124" t="s">
        <v>74</v>
      </c>
      <c r="T1124">
        <f t="shared" si="119"/>
        <v>702.26</v>
      </c>
      <c r="U1124">
        <f t="shared" si="120"/>
        <v>0</v>
      </c>
      <c r="V1124">
        <f t="shared" si="121"/>
        <v>664.35</v>
      </c>
      <c r="W1124">
        <f t="shared" si="122"/>
        <v>0</v>
      </c>
      <c r="X1124">
        <f t="shared" si="123"/>
        <v>10</v>
      </c>
      <c r="Y1124" cm="1">
        <f t="array" ref="Y1124">_xlfn.IFS(H1124=0.1,1,H1124=0.15,1,H1124=0.05,1,H1124=0,0)</f>
        <v>0</v>
      </c>
      <c r="Z1124">
        <f t="shared" si="124"/>
        <v>0</v>
      </c>
      <c r="AA1124">
        <f t="shared" si="125"/>
        <v>2024</v>
      </c>
    </row>
    <row r="1125" spans="1:27" x14ac:dyDescent="0.3">
      <c r="A1125" s="2">
        <v>45594</v>
      </c>
      <c r="B1125" t="s">
        <v>71</v>
      </c>
      <c r="C1125" t="s">
        <v>81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68</v>
      </c>
      <c r="J1125">
        <v>2392.404</v>
      </c>
      <c r="K1125" t="s">
        <v>24</v>
      </c>
      <c r="L1125" t="s">
        <v>41</v>
      </c>
      <c r="M1125">
        <v>0</v>
      </c>
      <c r="N1125" t="s">
        <v>2230</v>
      </c>
      <c r="O1125" t="s">
        <v>2231</v>
      </c>
      <c r="P1125">
        <v>8.7799999999999994</v>
      </c>
      <c r="Q1125" s="2">
        <v>45594</v>
      </c>
      <c r="R1125" s="2">
        <v>45598</v>
      </c>
      <c r="S1125" t="s">
        <v>74</v>
      </c>
      <c r="T1125">
        <f t="shared" si="119"/>
        <v>2401.1840000000002</v>
      </c>
      <c r="U1125">
        <f t="shared" si="120"/>
        <v>5</v>
      </c>
      <c r="V1125">
        <f t="shared" si="121"/>
        <v>2518.3200000000002</v>
      </c>
      <c r="W1125">
        <f t="shared" si="122"/>
        <v>125.91600000000017</v>
      </c>
      <c r="X1125">
        <f t="shared" si="123"/>
        <v>4</v>
      </c>
      <c r="Y1125" cm="1">
        <f t="array" ref="Y1125">_xlfn.IFS(H1125=0.1,1,H1125=0.15,1,H1125=0.05,1,H1125=0,0)</f>
        <v>1</v>
      </c>
      <c r="Z1125">
        <f t="shared" si="124"/>
        <v>12</v>
      </c>
      <c r="AA1125">
        <f t="shared" si="125"/>
        <v>2024</v>
      </c>
    </row>
    <row r="1126" spans="1:27" x14ac:dyDescent="0.3">
      <c r="A1126" s="2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65</v>
      </c>
      <c r="L1126" t="s">
        <v>35</v>
      </c>
      <c r="M1126">
        <v>0</v>
      </c>
      <c r="N1126" t="s">
        <v>2232</v>
      </c>
      <c r="O1126" t="s">
        <v>2233</v>
      </c>
      <c r="P1126">
        <v>39.32</v>
      </c>
      <c r="Q1126" s="2">
        <v>45825</v>
      </c>
      <c r="R1126" s="2">
        <v>45830</v>
      </c>
      <c r="S1126" t="s">
        <v>28</v>
      </c>
      <c r="T1126">
        <f t="shared" si="119"/>
        <v>293.255</v>
      </c>
      <c r="U1126">
        <f t="shared" si="120"/>
        <v>10</v>
      </c>
      <c r="V1126">
        <f t="shared" si="121"/>
        <v>282.15000000000003</v>
      </c>
      <c r="W1126">
        <f t="shared" si="122"/>
        <v>28.215000000000032</v>
      </c>
      <c r="X1126">
        <f t="shared" si="123"/>
        <v>5</v>
      </c>
      <c r="Y1126" cm="1">
        <f t="array" ref="Y1126">_xlfn.IFS(H1126=0.1,1,H1126=0.15,1,H1126=0.05,1,H1126=0,0)</f>
        <v>1</v>
      </c>
      <c r="Z1126">
        <f t="shared" si="124"/>
        <v>9</v>
      </c>
      <c r="AA1126">
        <f t="shared" si="125"/>
        <v>2025</v>
      </c>
    </row>
    <row r="1127" spans="1:27" x14ac:dyDescent="0.3">
      <c r="A1127" s="2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2234</v>
      </c>
      <c r="O1127" t="s">
        <v>2235</v>
      </c>
      <c r="P1127">
        <v>29.95</v>
      </c>
      <c r="Q1127" s="2">
        <v>45003</v>
      </c>
      <c r="R1127" s="2">
        <v>45011</v>
      </c>
      <c r="S1127" t="s">
        <v>44</v>
      </c>
      <c r="T1127">
        <f t="shared" si="119"/>
        <v>3716.16</v>
      </c>
      <c r="U1127">
        <f t="shared" si="120"/>
        <v>0</v>
      </c>
      <c r="V1127">
        <f t="shared" si="121"/>
        <v>3686.21</v>
      </c>
      <c r="W1127">
        <f t="shared" si="122"/>
        <v>0</v>
      </c>
      <c r="X1127">
        <f t="shared" si="123"/>
        <v>8</v>
      </c>
      <c r="Y1127" cm="1">
        <f t="array" ref="Y1127">_xlfn.IFS(H1127=0.1,1,H1127=0.15,1,H1127=0.05,1,H1127=0,0)</f>
        <v>0</v>
      </c>
      <c r="Z1127">
        <f t="shared" si="124"/>
        <v>0</v>
      </c>
      <c r="AA1127">
        <f t="shared" si="125"/>
        <v>2023</v>
      </c>
    </row>
    <row r="1128" spans="1:27" x14ac:dyDescent="0.3">
      <c r="A1128" s="2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2236</v>
      </c>
      <c r="O1128" t="s">
        <v>2237</v>
      </c>
      <c r="P1128">
        <v>36.380000000000003</v>
      </c>
      <c r="Q1128" s="2">
        <v>44945</v>
      </c>
      <c r="R1128" s="2">
        <v>44949</v>
      </c>
      <c r="S1128" t="s">
        <v>28</v>
      </c>
      <c r="T1128">
        <f t="shared" si="119"/>
        <v>2255.8200000000002</v>
      </c>
      <c r="U1128">
        <f t="shared" si="120"/>
        <v>0</v>
      </c>
      <c r="V1128">
        <f t="shared" si="121"/>
        <v>2219.44</v>
      </c>
      <c r="W1128">
        <f t="shared" si="122"/>
        <v>0</v>
      </c>
      <c r="X1128">
        <f t="shared" si="123"/>
        <v>4</v>
      </c>
      <c r="Y1128" cm="1">
        <f t="array" ref="Y1128">_xlfn.IFS(H1128=0.1,1,H1128=0.15,1,H1128=0.05,1,H1128=0,0)</f>
        <v>0</v>
      </c>
      <c r="Z1128">
        <f t="shared" si="124"/>
        <v>0</v>
      </c>
      <c r="AA1128">
        <f t="shared" si="125"/>
        <v>2023</v>
      </c>
    </row>
    <row r="1129" spans="1:27" x14ac:dyDescent="0.3">
      <c r="A1129" s="2">
        <v>45116</v>
      </c>
      <c r="B1129" t="s">
        <v>71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68</v>
      </c>
      <c r="J1129">
        <v>1640.0039999999999</v>
      </c>
      <c r="K1129" t="s">
        <v>62</v>
      </c>
      <c r="L1129" t="s">
        <v>41</v>
      </c>
      <c r="M1129">
        <v>0</v>
      </c>
      <c r="N1129" t="s">
        <v>2238</v>
      </c>
      <c r="O1129" t="s">
        <v>2239</v>
      </c>
      <c r="P1129">
        <v>17.14</v>
      </c>
      <c r="Q1129" s="2">
        <v>45116</v>
      </c>
      <c r="R1129" s="2">
        <v>45121</v>
      </c>
      <c r="S1129" t="s">
        <v>74</v>
      </c>
      <c r="T1129">
        <f t="shared" si="119"/>
        <v>1657.144</v>
      </c>
      <c r="U1129">
        <f t="shared" si="120"/>
        <v>5</v>
      </c>
      <c r="V1129">
        <f t="shared" si="121"/>
        <v>1726.3200000000002</v>
      </c>
      <c r="W1129">
        <f t="shared" si="122"/>
        <v>86.316000000000258</v>
      </c>
      <c r="X1129">
        <f t="shared" si="123"/>
        <v>5</v>
      </c>
      <c r="Y1129" cm="1">
        <f t="array" ref="Y1129">_xlfn.IFS(H1129=0.1,1,H1129=0.15,1,H1129=0.05,1,H1129=0,0)</f>
        <v>1</v>
      </c>
      <c r="Z1129">
        <f t="shared" si="124"/>
        <v>6</v>
      </c>
      <c r="AA1129">
        <f t="shared" si="125"/>
        <v>2023</v>
      </c>
    </row>
    <row r="1130" spans="1:27" x14ac:dyDescent="0.3">
      <c r="A1130" s="2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L1130" t="s">
        <v>59</v>
      </c>
      <c r="M1130">
        <v>1</v>
      </c>
      <c r="N1130" t="s">
        <v>2240</v>
      </c>
      <c r="O1130" t="s">
        <v>2241</v>
      </c>
      <c r="P1130">
        <v>43.41</v>
      </c>
      <c r="Q1130" s="2">
        <v>45732</v>
      </c>
      <c r="R1130" s="2">
        <v>45742</v>
      </c>
      <c r="S1130" t="s">
        <v>28</v>
      </c>
      <c r="T1130">
        <f t="shared" si="119"/>
        <v>6157.223</v>
      </c>
      <c r="U1130">
        <f t="shared" si="120"/>
        <v>5</v>
      </c>
      <c r="V1130">
        <f t="shared" si="121"/>
        <v>6434.54</v>
      </c>
      <c r="W1130">
        <f t="shared" si="122"/>
        <v>321.72699999999986</v>
      </c>
      <c r="X1130">
        <f t="shared" si="123"/>
        <v>10</v>
      </c>
      <c r="Y1130" cm="1">
        <f t="array" ref="Y1130">_xlfn.IFS(H1130=0.1,1,H1130=0.15,1,H1130=0.05,1,H1130=0,0)</f>
        <v>1</v>
      </c>
      <c r="Z1130">
        <f t="shared" si="124"/>
        <v>14</v>
      </c>
      <c r="AA1130">
        <f t="shared" si="125"/>
        <v>2025</v>
      </c>
    </row>
    <row r="1131" spans="1:27" x14ac:dyDescent="0.3">
      <c r="A1131" s="2">
        <v>45696</v>
      </c>
      <c r="B1131" t="s">
        <v>39</v>
      </c>
      <c r="C1131" t="s">
        <v>81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2242</v>
      </c>
      <c r="O1131" t="s">
        <v>2243</v>
      </c>
      <c r="P1131">
        <v>18.13</v>
      </c>
      <c r="Q1131" s="2">
        <v>45696</v>
      </c>
      <c r="R1131" s="2">
        <v>45701</v>
      </c>
      <c r="S1131" t="s">
        <v>44</v>
      </c>
      <c r="T1131">
        <f t="shared" si="119"/>
        <v>3588.7000000000003</v>
      </c>
      <c r="U1131">
        <f t="shared" si="120"/>
        <v>10</v>
      </c>
      <c r="V1131">
        <f t="shared" si="121"/>
        <v>3967.3</v>
      </c>
      <c r="W1131">
        <f t="shared" si="122"/>
        <v>396.73</v>
      </c>
      <c r="X1131">
        <f t="shared" si="123"/>
        <v>5</v>
      </c>
      <c r="Y1131" cm="1">
        <f t="array" ref="Y1131">_xlfn.IFS(H1131=0.1,1,H1131=0.15,1,H1131=0.05,1,H1131=0,0)</f>
        <v>1</v>
      </c>
      <c r="Z1131">
        <f t="shared" si="124"/>
        <v>10</v>
      </c>
      <c r="AA1131">
        <f t="shared" si="125"/>
        <v>2025</v>
      </c>
    </row>
    <row r="1132" spans="1:27" x14ac:dyDescent="0.3">
      <c r="A1132" s="2">
        <v>45402</v>
      </c>
      <c r="B1132" t="s">
        <v>29</v>
      </c>
      <c r="C1132" t="s">
        <v>132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68</v>
      </c>
      <c r="J1132">
        <v>10328.6</v>
      </c>
      <c r="K1132" t="s">
        <v>24</v>
      </c>
      <c r="L1132" t="s">
        <v>25</v>
      </c>
      <c r="M1132">
        <v>0</v>
      </c>
      <c r="N1132" t="s">
        <v>2244</v>
      </c>
      <c r="O1132" t="s">
        <v>294</v>
      </c>
      <c r="P1132">
        <v>36.229999999999997</v>
      </c>
      <c r="Q1132" s="2">
        <v>45402</v>
      </c>
      <c r="R1132" s="2">
        <v>45404</v>
      </c>
      <c r="S1132" t="s">
        <v>38</v>
      </c>
      <c r="T1132">
        <f t="shared" si="119"/>
        <v>10364.83</v>
      </c>
      <c r="U1132">
        <f t="shared" si="120"/>
        <v>0</v>
      </c>
      <c r="V1132">
        <f t="shared" si="121"/>
        <v>10328.599999999999</v>
      </c>
      <c r="W1132">
        <f t="shared" si="122"/>
        <v>0</v>
      </c>
      <c r="X1132">
        <f t="shared" si="123"/>
        <v>2</v>
      </c>
      <c r="Y1132" cm="1">
        <f t="array" ref="Y1132">_xlfn.IFS(H1132=0.1,1,H1132=0.15,1,H1132=0.05,1,H1132=0,0)</f>
        <v>0</v>
      </c>
      <c r="Z1132">
        <f t="shared" si="124"/>
        <v>0</v>
      </c>
      <c r="AA1132">
        <f t="shared" si="125"/>
        <v>2024</v>
      </c>
    </row>
    <row r="1133" spans="1:27" x14ac:dyDescent="0.3">
      <c r="A1133" s="2">
        <v>45813</v>
      </c>
      <c r="B1133" t="s">
        <v>19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65</v>
      </c>
      <c r="L1133" t="s">
        <v>35</v>
      </c>
      <c r="M1133">
        <v>0</v>
      </c>
      <c r="N1133" t="s">
        <v>2245</v>
      </c>
      <c r="O1133" t="s">
        <v>2246</v>
      </c>
      <c r="P1133">
        <v>38.94</v>
      </c>
      <c r="Q1133" s="2">
        <v>45813</v>
      </c>
      <c r="R1133" s="2">
        <v>45815</v>
      </c>
      <c r="S1133" t="s">
        <v>28</v>
      </c>
      <c r="T1133">
        <f t="shared" si="119"/>
        <v>308.63400000000001</v>
      </c>
      <c r="U1133">
        <f t="shared" si="120"/>
        <v>10</v>
      </c>
      <c r="V1133">
        <f t="shared" si="121"/>
        <v>299.66000000000003</v>
      </c>
      <c r="W1133">
        <f t="shared" si="122"/>
        <v>29.966000000000008</v>
      </c>
      <c r="X1133">
        <f t="shared" si="123"/>
        <v>2</v>
      </c>
      <c r="Y1133" cm="1">
        <f t="array" ref="Y1133">_xlfn.IFS(H1133=0.1,1,H1133=0.15,1,H1133=0.05,1,H1133=0,0)</f>
        <v>1</v>
      </c>
      <c r="Z1133">
        <f t="shared" si="124"/>
        <v>1</v>
      </c>
      <c r="AA1133">
        <f t="shared" si="125"/>
        <v>2025</v>
      </c>
    </row>
    <row r="1134" spans="1:27" x14ac:dyDescent="0.3">
      <c r="A1134" s="2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62</v>
      </c>
      <c r="L1134" t="s">
        <v>35</v>
      </c>
      <c r="M1134">
        <v>0</v>
      </c>
      <c r="N1134" t="s">
        <v>2247</v>
      </c>
      <c r="O1134" t="s">
        <v>2248</v>
      </c>
      <c r="P1134">
        <v>30.78</v>
      </c>
      <c r="Q1134" s="2">
        <v>45772</v>
      </c>
      <c r="R1134" s="2">
        <v>45780</v>
      </c>
      <c r="S1134" t="s">
        <v>38</v>
      </c>
      <c r="T1134">
        <f t="shared" si="119"/>
        <v>411.41999999999996</v>
      </c>
      <c r="U1134">
        <f t="shared" si="120"/>
        <v>0</v>
      </c>
      <c r="V1134">
        <f t="shared" si="121"/>
        <v>380.64</v>
      </c>
      <c r="W1134">
        <f t="shared" si="122"/>
        <v>0</v>
      </c>
      <c r="X1134">
        <f t="shared" si="123"/>
        <v>8</v>
      </c>
      <c r="Y1134" cm="1">
        <f t="array" ref="Y1134">_xlfn.IFS(H1134=0.1,1,H1134=0.15,1,H1134=0.05,1,H1134=0,0)</f>
        <v>0</v>
      </c>
      <c r="Z1134">
        <f t="shared" si="124"/>
        <v>0</v>
      </c>
      <c r="AA1134">
        <f t="shared" si="125"/>
        <v>2025</v>
      </c>
    </row>
    <row r="1135" spans="1:27" x14ac:dyDescent="0.3">
      <c r="A1135" s="2">
        <v>45175</v>
      </c>
      <c r="B1135" t="s">
        <v>45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9505.5670000000009</v>
      </c>
      <c r="K1135" t="s">
        <v>62</v>
      </c>
      <c r="L1135" t="s">
        <v>35</v>
      </c>
      <c r="M1135">
        <v>1</v>
      </c>
      <c r="N1135" t="s">
        <v>2249</v>
      </c>
      <c r="O1135" t="s">
        <v>2250</v>
      </c>
      <c r="P1135">
        <v>25.31</v>
      </c>
      <c r="Q1135" s="2">
        <v>45175</v>
      </c>
      <c r="R1135" s="2">
        <v>45182</v>
      </c>
      <c r="S1135" t="s">
        <v>50</v>
      </c>
      <c r="T1135">
        <f t="shared" si="119"/>
        <v>9531.8770000000004</v>
      </c>
      <c r="U1135">
        <f t="shared" si="120"/>
        <v>5</v>
      </c>
      <c r="V1135">
        <f t="shared" si="121"/>
        <v>10005.86</v>
      </c>
      <c r="W1135">
        <f t="shared" si="122"/>
        <v>500.29299999999967</v>
      </c>
      <c r="X1135">
        <f t="shared" si="123"/>
        <v>7</v>
      </c>
      <c r="Y1135" cm="1">
        <f t="array" ref="Y1135">_xlfn.IFS(H1135=0.1,1,H1135=0.15,1,H1135=0.05,1,H1135=0,0)</f>
        <v>1</v>
      </c>
      <c r="Z1135">
        <f t="shared" si="124"/>
        <v>17</v>
      </c>
      <c r="AA1135">
        <f t="shared" si="125"/>
        <v>2023</v>
      </c>
    </row>
    <row r="1136" spans="1:27" x14ac:dyDescent="0.3">
      <c r="A1136" s="2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2251</v>
      </c>
      <c r="O1136" t="s">
        <v>2252</v>
      </c>
      <c r="P1136">
        <v>30.97</v>
      </c>
      <c r="Q1136" s="2">
        <v>45198</v>
      </c>
      <c r="R1136" s="2">
        <v>45201</v>
      </c>
      <c r="S1136" t="s">
        <v>28</v>
      </c>
      <c r="T1136">
        <f t="shared" si="119"/>
        <v>2042.155</v>
      </c>
      <c r="U1136">
        <f t="shared" si="120"/>
        <v>10</v>
      </c>
      <c r="V1136">
        <f t="shared" si="121"/>
        <v>2234.65</v>
      </c>
      <c r="W1136">
        <f t="shared" si="122"/>
        <v>223.46500000000015</v>
      </c>
      <c r="X1136">
        <f t="shared" si="123"/>
        <v>3</v>
      </c>
      <c r="Y1136" cm="1">
        <f t="array" ref="Y1136">_xlfn.IFS(H1136=0.1,1,H1136=0.15,1,H1136=0.05,1,H1136=0,0)</f>
        <v>1</v>
      </c>
      <c r="Z1136">
        <f t="shared" si="124"/>
        <v>11</v>
      </c>
      <c r="AA1136">
        <f t="shared" si="125"/>
        <v>2023</v>
      </c>
    </row>
    <row r="1137" spans="1:27" x14ac:dyDescent="0.3">
      <c r="A1137" s="2">
        <v>45433</v>
      </c>
      <c r="B1137" t="s">
        <v>45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2253</v>
      </c>
      <c r="O1137" t="s">
        <v>2254</v>
      </c>
      <c r="P1137">
        <v>10.56</v>
      </c>
      <c r="Q1137" s="2">
        <v>45433</v>
      </c>
      <c r="R1137" s="2">
        <v>45435</v>
      </c>
      <c r="S1137" t="s">
        <v>50</v>
      </c>
      <c r="T1137">
        <f t="shared" si="119"/>
        <v>2516.08</v>
      </c>
      <c r="U1137">
        <f t="shared" si="120"/>
        <v>0</v>
      </c>
      <c r="V1137">
        <f t="shared" si="121"/>
        <v>2504.5199999999995</v>
      </c>
      <c r="W1137">
        <f t="shared" si="122"/>
        <v>0</v>
      </c>
      <c r="X1137">
        <f t="shared" si="123"/>
        <v>2</v>
      </c>
      <c r="Y1137" cm="1">
        <f t="array" ref="Y1137">_xlfn.IFS(H1137=0.1,1,H1137=0.15,1,H1137=0.05,1,H1137=0,0)</f>
        <v>0</v>
      </c>
      <c r="Z1137">
        <f t="shared" si="124"/>
        <v>0</v>
      </c>
      <c r="AA1137">
        <f t="shared" si="125"/>
        <v>2024</v>
      </c>
    </row>
    <row r="1138" spans="1:27" x14ac:dyDescent="0.3">
      <c r="A1138" s="2">
        <v>45760</v>
      </c>
      <c r="B1138" t="s">
        <v>71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68</v>
      </c>
      <c r="J1138">
        <v>317.98</v>
      </c>
      <c r="K1138" t="s">
        <v>24</v>
      </c>
      <c r="L1138" t="s">
        <v>59</v>
      </c>
      <c r="M1138">
        <v>0</v>
      </c>
      <c r="N1138" t="s">
        <v>2255</v>
      </c>
      <c r="O1138" t="s">
        <v>2256</v>
      </c>
      <c r="P1138">
        <v>48.32</v>
      </c>
      <c r="Q1138" s="2">
        <v>45760</v>
      </c>
      <c r="R1138" s="2">
        <v>45766</v>
      </c>
      <c r="S1138" t="s">
        <v>74</v>
      </c>
      <c r="T1138">
        <f t="shared" si="119"/>
        <v>366.3</v>
      </c>
      <c r="U1138">
        <f t="shared" si="120"/>
        <v>0</v>
      </c>
      <c r="V1138">
        <f t="shared" si="121"/>
        <v>317.98</v>
      </c>
      <c r="W1138">
        <f t="shared" si="122"/>
        <v>0</v>
      </c>
      <c r="X1138">
        <f t="shared" si="123"/>
        <v>6</v>
      </c>
      <c r="Y1138" cm="1">
        <f t="array" ref="Y1138">_xlfn.IFS(H1138=0.1,1,H1138=0.15,1,H1138=0.05,1,H1138=0,0)</f>
        <v>0</v>
      </c>
      <c r="Z1138">
        <f t="shared" si="124"/>
        <v>0</v>
      </c>
      <c r="AA1138">
        <f t="shared" si="125"/>
        <v>2025</v>
      </c>
    </row>
    <row r="1139" spans="1:27" x14ac:dyDescent="0.3">
      <c r="A1139" s="2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2257</v>
      </c>
      <c r="O1139" t="s">
        <v>2258</v>
      </c>
      <c r="P1139">
        <v>30.08</v>
      </c>
      <c r="Q1139" s="2">
        <v>45612</v>
      </c>
      <c r="R1139" s="2">
        <v>45616</v>
      </c>
      <c r="S1139" t="s">
        <v>28</v>
      </c>
      <c r="T1139">
        <f t="shared" si="119"/>
        <v>1192.97</v>
      </c>
      <c r="U1139">
        <f t="shared" si="120"/>
        <v>0</v>
      </c>
      <c r="V1139">
        <f t="shared" si="121"/>
        <v>1162.8899999999999</v>
      </c>
      <c r="W1139">
        <f t="shared" si="122"/>
        <v>0</v>
      </c>
      <c r="X1139">
        <f t="shared" si="123"/>
        <v>4</v>
      </c>
      <c r="Y1139" cm="1">
        <f t="array" ref="Y1139">_xlfn.IFS(H1139=0.1,1,H1139=0.15,1,H1139=0.05,1,H1139=0,0)</f>
        <v>0</v>
      </c>
      <c r="Z1139">
        <f t="shared" si="124"/>
        <v>0</v>
      </c>
      <c r="AA1139">
        <f t="shared" si="125"/>
        <v>2024</v>
      </c>
    </row>
    <row r="1140" spans="1:27" x14ac:dyDescent="0.3">
      <c r="A1140" s="2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909.54000000000008</v>
      </c>
      <c r="K1140" t="s">
        <v>24</v>
      </c>
      <c r="L1140" t="s">
        <v>25</v>
      </c>
      <c r="M1140">
        <v>1</v>
      </c>
      <c r="N1140" t="s">
        <v>2259</v>
      </c>
      <c r="O1140" t="s">
        <v>2215</v>
      </c>
      <c r="P1140">
        <v>45.61</v>
      </c>
      <c r="Q1140" s="2">
        <v>45493</v>
      </c>
      <c r="R1140" s="2">
        <v>45501</v>
      </c>
      <c r="S1140" t="s">
        <v>44</v>
      </c>
      <c r="T1140">
        <f t="shared" si="119"/>
        <v>956.15000000000009</v>
      </c>
      <c r="U1140">
        <f t="shared" si="120"/>
        <v>10</v>
      </c>
      <c r="V1140">
        <f t="shared" si="121"/>
        <v>1010.6</v>
      </c>
      <c r="W1140">
        <f t="shared" si="122"/>
        <v>101.05999999999995</v>
      </c>
      <c r="X1140">
        <f t="shared" si="123"/>
        <v>8</v>
      </c>
      <c r="Y1140" cm="1">
        <f t="array" ref="Y1140">_xlfn.IFS(H1140=0.1,1,H1140=0.15,1,H1140=0.05,1,H1140=0,0)</f>
        <v>1</v>
      </c>
      <c r="Z1140">
        <f t="shared" si="124"/>
        <v>5</v>
      </c>
      <c r="AA1140">
        <f t="shared" si="125"/>
        <v>2024</v>
      </c>
    </row>
    <row r="1141" spans="1:27" x14ac:dyDescent="0.3">
      <c r="A1141" s="2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L1141" t="s">
        <v>59</v>
      </c>
      <c r="M1141">
        <v>0</v>
      </c>
      <c r="N1141" t="s">
        <v>2260</v>
      </c>
      <c r="O1141" t="s">
        <v>2261</v>
      </c>
      <c r="P1141">
        <v>11.49</v>
      </c>
      <c r="Q1141" s="2">
        <v>45066</v>
      </c>
      <c r="R1141" s="2">
        <v>45073</v>
      </c>
      <c r="S1141" t="s">
        <v>44</v>
      </c>
      <c r="T1141">
        <f t="shared" si="119"/>
        <v>1149.028</v>
      </c>
      <c r="U1141">
        <f t="shared" si="120"/>
        <v>15</v>
      </c>
      <c r="V1141">
        <f t="shared" si="121"/>
        <v>1338.28</v>
      </c>
      <c r="W1141">
        <f t="shared" si="122"/>
        <v>200.74199999999996</v>
      </c>
      <c r="X1141">
        <f t="shared" si="123"/>
        <v>7</v>
      </c>
      <c r="Y1141" cm="1">
        <f t="array" ref="Y1141">_xlfn.IFS(H1141=0.1,1,H1141=0.15,1,H1141=0.05,1,H1141=0,0)</f>
        <v>1</v>
      </c>
      <c r="Z1141">
        <f t="shared" si="124"/>
        <v>4</v>
      </c>
      <c r="AA1141">
        <f t="shared" si="125"/>
        <v>2023</v>
      </c>
    </row>
    <row r="1142" spans="1:27" x14ac:dyDescent="0.3">
      <c r="A1142" s="2">
        <v>45221</v>
      </c>
      <c r="B1142" t="s">
        <v>71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6619.2559999999994</v>
      </c>
      <c r="K1142" t="s">
        <v>24</v>
      </c>
      <c r="L1142" t="s">
        <v>25</v>
      </c>
      <c r="M1142">
        <v>1</v>
      </c>
      <c r="N1142" t="s">
        <v>2262</v>
      </c>
      <c r="O1142" t="s">
        <v>2263</v>
      </c>
      <c r="P1142">
        <v>12.53</v>
      </c>
      <c r="Q1142" s="2">
        <v>45221</v>
      </c>
      <c r="R1142" s="2">
        <v>45225</v>
      </c>
      <c r="S1142" t="s">
        <v>74</v>
      </c>
      <c r="T1142">
        <f t="shared" si="119"/>
        <v>6632.7859999999991</v>
      </c>
      <c r="U1142">
        <f t="shared" si="120"/>
        <v>15</v>
      </c>
      <c r="V1142">
        <f t="shared" si="121"/>
        <v>7787.36</v>
      </c>
      <c r="W1142">
        <f t="shared" si="122"/>
        <v>1168.1040000000003</v>
      </c>
      <c r="X1142">
        <f t="shared" si="123"/>
        <v>4</v>
      </c>
      <c r="Y1142" cm="1">
        <f t="array" ref="Y1142">_xlfn.IFS(H1142=0.1,1,H1142=0.15,1,H1142=0.05,1,H1142=0,0)</f>
        <v>1</v>
      </c>
      <c r="Z1142">
        <f t="shared" si="124"/>
        <v>16</v>
      </c>
      <c r="AA1142">
        <f t="shared" si="125"/>
        <v>2023</v>
      </c>
    </row>
    <row r="1143" spans="1:27" x14ac:dyDescent="0.3">
      <c r="A1143" s="2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68</v>
      </c>
      <c r="J1143">
        <v>320.09300000000002</v>
      </c>
      <c r="K1143" t="s">
        <v>58</v>
      </c>
      <c r="L1143" t="s">
        <v>35</v>
      </c>
      <c r="M1143">
        <v>0</v>
      </c>
      <c r="N1143" t="s">
        <v>2264</v>
      </c>
      <c r="O1143" t="s">
        <v>2265</v>
      </c>
      <c r="P1143">
        <v>32.22</v>
      </c>
      <c r="Q1143" s="2">
        <v>45795</v>
      </c>
      <c r="R1143" s="2">
        <v>45798</v>
      </c>
      <c r="S1143" t="s">
        <v>44</v>
      </c>
      <c r="T1143">
        <f t="shared" si="119"/>
        <v>352.31299999999999</v>
      </c>
      <c r="U1143">
        <f t="shared" si="120"/>
        <v>15</v>
      </c>
      <c r="V1143">
        <f t="shared" si="121"/>
        <v>376.58</v>
      </c>
      <c r="W1143">
        <f t="shared" si="122"/>
        <v>56.486999999999966</v>
      </c>
      <c r="X1143">
        <f t="shared" si="123"/>
        <v>3</v>
      </c>
      <c r="Y1143" cm="1">
        <f t="array" ref="Y1143">_xlfn.IFS(H1143=0.1,1,H1143=0.15,1,H1143=0.05,1,H1143=0,0)</f>
        <v>1</v>
      </c>
      <c r="Z1143">
        <f t="shared" si="124"/>
        <v>2</v>
      </c>
      <c r="AA1143">
        <f t="shared" si="125"/>
        <v>2025</v>
      </c>
    </row>
    <row r="1144" spans="1:27" x14ac:dyDescent="0.3">
      <c r="A1144" s="2">
        <v>45354</v>
      </c>
      <c r="B1144" t="s">
        <v>29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2266</v>
      </c>
      <c r="O1144" t="s">
        <v>2267</v>
      </c>
      <c r="P1144">
        <v>19.41</v>
      </c>
      <c r="Q1144" s="2">
        <v>45354</v>
      </c>
      <c r="R1144" s="2">
        <v>45357</v>
      </c>
      <c r="S1144" t="s">
        <v>38</v>
      </c>
      <c r="T1144">
        <f t="shared" si="119"/>
        <v>684.24599999999998</v>
      </c>
      <c r="U1144">
        <f t="shared" si="120"/>
        <v>15</v>
      </c>
      <c r="V1144">
        <f t="shared" si="121"/>
        <v>782.16000000000008</v>
      </c>
      <c r="W1144">
        <f t="shared" si="122"/>
        <v>117.32400000000007</v>
      </c>
      <c r="X1144">
        <f t="shared" si="123"/>
        <v>3</v>
      </c>
      <c r="Y1144" cm="1">
        <f t="array" ref="Y1144">_xlfn.IFS(H1144=0.1,1,H1144=0.15,1,H1144=0.05,1,H1144=0,0)</f>
        <v>1</v>
      </c>
      <c r="Z1144">
        <f t="shared" si="124"/>
        <v>3</v>
      </c>
      <c r="AA1144">
        <f t="shared" si="125"/>
        <v>2024</v>
      </c>
    </row>
    <row r="1145" spans="1:27" x14ac:dyDescent="0.3">
      <c r="A1145" s="2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L1145" t="s">
        <v>59</v>
      </c>
      <c r="M1145">
        <v>0</v>
      </c>
      <c r="N1145" t="s">
        <v>2268</v>
      </c>
      <c r="O1145" t="s">
        <v>2136</v>
      </c>
      <c r="P1145">
        <v>7.34</v>
      </c>
      <c r="Q1145" s="2">
        <v>45130</v>
      </c>
      <c r="R1145" s="2">
        <v>45140</v>
      </c>
      <c r="S1145" t="s">
        <v>28</v>
      </c>
      <c r="T1145">
        <f t="shared" si="119"/>
        <v>1941.9979999999998</v>
      </c>
      <c r="U1145">
        <f t="shared" si="120"/>
        <v>10</v>
      </c>
      <c r="V1145">
        <f t="shared" si="121"/>
        <v>2149.62</v>
      </c>
      <c r="W1145">
        <f t="shared" si="122"/>
        <v>214.96199999999999</v>
      </c>
      <c r="X1145">
        <f t="shared" si="123"/>
        <v>10</v>
      </c>
      <c r="Y1145" cm="1">
        <f t="array" ref="Y1145">_xlfn.IFS(H1145=0.1,1,H1145=0.15,1,H1145=0.05,1,H1145=0,0)</f>
        <v>1</v>
      </c>
      <c r="Z1145">
        <f t="shared" si="124"/>
        <v>6</v>
      </c>
      <c r="AA1145">
        <f t="shared" si="125"/>
        <v>2023</v>
      </c>
    </row>
    <row r="1146" spans="1:27" x14ac:dyDescent="0.3">
      <c r="A1146" s="2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2269</v>
      </c>
      <c r="O1146" t="s">
        <v>2270</v>
      </c>
      <c r="P1146">
        <v>46.21</v>
      </c>
      <c r="Q1146" s="2">
        <v>45697</v>
      </c>
      <c r="R1146" s="2">
        <v>45702</v>
      </c>
      <c r="S1146" t="s">
        <v>44</v>
      </c>
      <c r="T1146">
        <f t="shared" si="119"/>
        <v>5810.3320000000003</v>
      </c>
      <c r="U1146">
        <f t="shared" si="120"/>
        <v>10</v>
      </c>
      <c r="V1146">
        <f t="shared" si="121"/>
        <v>6404.58</v>
      </c>
      <c r="W1146">
        <f t="shared" si="122"/>
        <v>640.45799999999963</v>
      </c>
      <c r="X1146">
        <f t="shared" si="123"/>
        <v>5</v>
      </c>
      <c r="Y1146" cm="1">
        <f t="array" ref="Y1146">_xlfn.IFS(H1146=0.1,1,H1146=0.15,1,H1146=0.05,1,H1146=0,0)</f>
        <v>1</v>
      </c>
      <c r="Z1146">
        <f t="shared" si="124"/>
        <v>13</v>
      </c>
      <c r="AA1146">
        <f t="shared" si="125"/>
        <v>2025</v>
      </c>
    </row>
    <row r="1147" spans="1:27" x14ac:dyDescent="0.3">
      <c r="A1147" s="2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2271</v>
      </c>
      <c r="O1147" t="s">
        <v>2272</v>
      </c>
      <c r="P1147">
        <v>26.25</v>
      </c>
      <c r="Q1147" s="2">
        <v>44943</v>
      </c>
      <c r="R1147" s="2">
        <v>44949</v>
      </c>
      <c r="S1147" t="s">
        <v>38</v>
      </c>
      <c r="T1147">
        <f t="shared" si="119"/>
        <v>1071.3900000000001</v>
      </c>
      <c r="U1147">
        <f t="shared" si="120"/>
        <v>0</v>
      </c>
      <c r="V1147">
        <f t="shared" si="121"/>
        <v>1045.1399999999999</v>
      </c>
      <c r="W1147">
        <f t="shared" si="122"/>
        <v>0</v>
      </c>
      <c r="X1147">
        <f t="shared" si="123"/>
        <v>6</v>
      </c>
      <c r="Y1147" cm="1">
        <f t="array" ref="Y1147">_xlfn.IFS(H1147=0.1,1,H1147=0.15,1,H1147=0.05,1,H1147=0,0)</f>
        <v>0</v>
      </c>
      <c r="Z1147">
        <f t="shared" si="124"/>
        <v>0</v>
      </c>
      <c r="AA1147">
        <f t="shared" si="125"/>
        <v>2023</v>
      </c>
    </row>
    <row r="1148" spans="1:27" x14ac:dyDescent="0.3">
      <c r="A1148" s="2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2273</v>
      </c>
      <c r="O1148" t="s">
        <v>2274</v>
      </c>
      <c r="P1148">
        <v>39.4</v>
      </c>
      <c r="Q1148" s="2">
        <v>45186</v>
      </c>
      <c r="R1148" s="2">
        <v>45195</v>
      </c>
      <c r="S1148" t="s">
        <v>44</v>
      </c>
      <c r="T1148">
        <f t="shared" si="119"/>
        <v>2534.663</v>
      </c>
      <c r="U1148">
        <f t="shared" si="120"/>
        <v>5</v>
      </c>
      <c r="V1148">
        <f t="shared" si="121"/>
        <v>2625.54</v>
      </c>
      <c r="W1148">
        <f t="shared" si="122"/>
        <v>131.27700000000004</v>
      </c>
      <c r="X1148">
        <f t="shared" si="123"/>
        <v>9</v>
      </c>
      <c r="Y1148" cm="1">
        <f t="array" ref="Y1148">_xlfn.IFS(H1148=0.1,1,H1148=0.15,1,H1148=0.05,1,H1148=0,0)</f>
        <v>1</v>
      </c>
      <c r="Z1148">
        <f t="shared" si="124"/>
        <v>6</v>
      </c>
      <c r="AA1148">
        <f t="shared" si="125"/>
        <v>2023</v>
      </c>
    </row>
    <row r="1149" spans="1:27" x14ac:dyDescent="0.3">
      <c r="A1149" s="2">
        <v>45703</v>
      </c>
      <c r="B1149" t="s">
        <v>39</v>
      </c>
      <c r="C1149" t="s">
        <v>132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2275</v>
      </c>
      <c r="O1149" t="s">
        <v>2276</v>
      </c>
      <c r="P1149">
        <v>10.77</v>
      </c>
      <c r="Q1149" s="2">
        <v>45703</v>
      </c>
      <c r="R1149" s="2">
        <v>45711</v>
      </c>
      <c r="S1149" t="s">
        <v>44</v>
      </c>
      <c r="T1149">
        <f t="shared" si="119"/>
        <v>2030.1089999999999</v>
      </c>
      <c r="U1149">
        <f t="shared" si="120"/>
        <v>10</v>
      </c>
      <c r="V1149">
        <f t="shared" si="121"/>
        <v>2243.71</v>
      </c>
      <c r="W1149">
        <f t="shared" si="122"/>
        <v>224.37100000000009</v>
      </c>
      <c r="X1149">
        <f t="shared" si="123"/>
        <v>8</v>
      </c>
      <c r="Y1149" cm="1">
        <f t="array" ref="Y1149">_xlfn.IFS(H1149=0.1,1,H1149=0.15,1,H1149=0.05,1,H1149=0,0)</f>
        <v>1</v>
      </c>
      <c r="Z1149">
        <f t="shared" si="124"/>
        <v>19</v>
      </c>
      <c r="AA1149">
        <f t="shared" si="125"/>
        <v>2025</v>
      </c>
    </row>
    <row r="1150" spans="1:27" x14ac:dyDescent="0.3">
      <c r="A1150" s="2">
        <v>45206</v>
      </c>
      <c r="B1150" t="s">
        <v>71</v>
      </c>
      <c r="C1150" t="s">
        <v>81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68</v>
      </c>
      <c r="J1150">
        <v>2687.122499999999</v>
      </c>
      <c r="K1150" t="s">
        <v>58</v>
      </c>
      <c r="L1150" t="s">
        <v>25</v>
      </c>
      <c r="M1150">
        <v>1</v>
      </c>
      <c r="N1150" t="s">
        <v>2277</v>
      </c>
      <c r="O1150" t="s">
        <v>2278</v>
      </c>
      <c r="P1150">
        <v>38.61</v>
      </c>
      <c r="Q1150" s="2">
        <v>45206</v>
      </c>
      <c r="R1150" s="2">
        <v>45208</v>
      </c>
      <c r="S1150" t="s">
        <v>74</v>
      </c>
      <c r="T1150">
        <f t="shared" si="119"/>
        <v>2726.7324999999992</v>
      </c>
      <c r="U1150">
        <f t="shared" si="120"/>
        <v>5</v>
      </c>
      <c r="V1150">
        <f t="shared" si="121"/>
        <v>2828.5499999999997</v>
      </c>
      <c r="W1150">
        <f t="shared" si="122"/>
        <v>141.42750000000069</v>
      </c>
      <c r="X1150">
        <f t="shared" si="123"/>
        <v>2</v>
      </c>
      <c r="Y1150" cm="1">
        <f t="array" ref="Y1150">_xlfn.IFS(H1150=0.1,1,H1150=0.15,1,H1150=0.05,1,H1150=0,0)</f>
        <v>1</v>
      </c>
      <c r="Z1150">
        <f t="shared" si="124"/>
        <v>15</v>
      </c>
      <c r="AA1150">
        <f t="shared" si="125"/>
        <v>2023</v>
      </c>
    </row>
    <row r="1151" spans="1:27" x14ac:dyDescent="0.3">
      <c r="A1151" s="2">
        <v>45146</v>
      </c>
      <c r="B1151" t="s">
        <v>71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2279</v>
      </c>
      <c r="O1151" t="s">
        <v>2280</v>
      </c>
      <c r="P1151">
        <v>30.7</v>
      </c>
      <c r="Q1151" s="2">
        <v>45146</v>
      </c>
      <c r="R1151" s="2">
        <v>45148</v>
      </c>
      <c r="S1151" t="s">
        <v>74</v>
      </c>
      <c r="T1151">
        <f t="shared" si="119"/>
        <v>1637.6200000000001</v>
      </c>
      <c r="U1151">
        <f t="shared" si="120"/>
        <v>0</v>
      </c>
      <c r="V1151">
        <f t="shared" si="121"/>
        <v>1605.92</v>
      </c>
      <c r="W1151">
        <f t="shared" si="122"/>
        <v>0</v>
      </c>
      <c r="X1151">
        <f t="shared" si="123"/>
        <v>2</v>
      </c>
      <c r="Y1151" cm="1">
        <f t="array" ref="Y1151">_xlfn.IFS(H1151=0.1,1,H1151=0.15,1,H1151=0.05,1,H1151=0,0)</f>
        <v>0</v>
      </c>
      <c r="Z1151">
        <f t="shared" si="124"/>
        <v>0</v>
      </c>
      <c r="AA1151">
        <f t="shared" si="125"/>
        <v>2023</v>
      </c>
    </row>
    <row r="1152" spans="1:27" x14ac:dyDescent="0.3">
      <c r="A1152" s="2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2281</v>
      </c>
      <c r="O1152" t="s">
        <v>803</v>
      </c>
      <c r="P1152">
        <v>26.04</v>
      </c>
      <c r="Q1152" s="2">
        <v>45159</v>
      </c>
      <c r="R1152" s="2">
        <v>45165</v>
      </c>
      <c r="S1152" t="s">
        <v>28</v>
      </c>
      <c r="T1152">
        <f t="shared" si="119"/>
        <v>388.36950000000002</v>
      </c>
      <c r="U1152">
        <f t="shared" si="120"/>
        <v>15</v>
      </c>
      <c r="V1152">
        <f t="shared" si="121"/>
        <v>426.27</v>
      </c>
      <c r="W1152">
        <f t="shared" si="122"/>
        <v>63.940499999999986</v>
      </c>
      <c r="X1152">
        <f t="shared" si="123"/>
        <v>6</v>
      </c>
      <c r="Y1152" cm="1">
        <f t="array" ref="Y1152">_xlfn.IFS(H1152=0.1,1,H1152=0.15,1,H1152=0.05,1,H1152=0,0)</f>
        <v>1</v>
      </c>
      <c r="Z1152">
        <f t="shared" si="124"/>
        <v>3</v>
      </c>
      <c r="AA1152">
        <f t="shared" si="125"/>
        <v>2023</v>
      </c>
    </row>
    <row r="1153" spans="1:27" x14ac:dyDescent="0.3">
      <c r="A1153" s="2">
        <v>45480</v>
      </c>
      <c r="B1153" t="s">
        <v>39</v>
      </c>
      <c r="C1153" t="s">
        <v>81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2282</v>
      </c>
      <c r="O1153" t="s">
        <v>2283</v>
      </c>
      <c r="P1153">
        <v>29.31</v>
      </c>
      <c r="Q1153" s="2">
        <v>45480</v>
      </c>
      <c r="R1153" s="2">
        <v>45484</v>
      </c>
      <c r="S1153" t="s">
        <v>44</v>
      </c>
      <c r="T1153">
        <f t="shared" si="119"/>
        <v>7806.93</v>
      </c>
      <c r="U1153">
        <f t="shared" si="120"/>
        <v>10</v>
      </c>
      <c r="V1153">
        <f t="shared" si="121"/>
        <v>8641.7999999999993</v>
      </c>
      <c r="W1153">
        <f t="shared" si="122"/>
        <v>864.17999999999938</v>
      </c>
      <c r="X1153">
        <f t="shared" si="123"/>
        <v>4</v>
      </c>
      <c r="Y1153" cm="1">
        <f t="array" ref="Y1153">_xlfn.IFS(H1153=0.1,1,H1153=0.15,1,H1153=0.05,1,H1153=0,0)</f>
        <v>1</v>
      </c>
      <c r="Z1153">
        <f t="shared" si="124"/>
        <v>15</v>
      </c>
      <c r="AA1153">
        <f t="shared" si="125"/>
        <v>2024</v>
      </c>
    </row>
    <row r="1154" spans="1:27" x14ac:dyDescent="0.3">
      <c r="A1154" s="2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68</v>
      </c>
      <c r="J1154">
        <v>741.82050000000004</v>
      </c>
      <c r="K1154" t="s">
        <v>58</v>
      </c>
      <c r="L1154" t="s">
        <v>41</v>
      </c>
      <c r="M1154">
        <v>1</v>
      </c>
      <c r="N1154" t="s">
        <v>2284</v>
      </c>
      <c r="O1154" t="s">
        <v>2285</v>
      </c>
      <c r="P1154">
        <v>30.87</v>
      </c>
      <c r="Q1154" s="2">
        <v>45674</v>
      </c>
      <c r="R1154" s="2">
        <v>45681</v>
      </c>
      <c r="S1154" t="s">
        <v>38</v>
      </c>
      <c r="T1154">
        <f t="shared" si="119"/>
        <v>773.69050000000004</v>
      </c>
      <c r="U1154">
        <f t="shared" si="120"/>
        <v>15</v>
      </c>
      <c r="V1154">
        <f t="shared" si="121"/>
        <v>872.73</v>
      </c>
      <c r="W1154">
        <f t="shared" si="122"/>
        <v>130.90949999999998</v>
      </c>
      <c r="X1154">
        <f t="shared" si="123"/>
        <v>7</v>
      </c>
      <c r="Y1154" cm="1">
        <f t="array" ref="Y1154">_xlfn.IFS(H1154=0.1,1,H1154=0.15,1,H1154=0.05,1,H1154=0,0)</f>
        <v>1</v>
      </c>
      <c r="Z1154">
        <f t="shared" si="124"/>
        <v>9</v>
      </c>
      <c r="AA1154">
        <f t="shared" si="125"/>
        <v>2025</v>
      </c>
    </row>
    <row r="1155" spans="1:27" x14ac:dyDescent="0.3">
      <c r="A1155" s="2">
        <v>45266</v>
      </c>
      <c r="B1155" t="s">
        <v>39</v>
      </c>
      <c r="C1155" t="s">
        <v>81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68</v>
      </c>
      <c r="J1155">
        <v>3150.6779999999999</v>
      </c>
      <c r="K1155" t="s">
        <v>65</v>
      </c>
      <c r="L1155" t="s">
        <v>59</v>
      </c>
      <c r="M1155">
        <v>0</v>
      </c>
      <c r="N1155" t="s">
        <v>2286</v>
      </c>
      <c r="O1155" t="s">
        <v>2287</v>
      </c>
      <c r="P1155">
        <v>16</v>
      </c>
      <c r="Q1155" s="2">
        <v>45266</v>
      </c>
      <c r="R1155" s="2">
        <v>45276</v>
      </c>
      <c r="S1155" t="s">
        <v>44</v>
      </c>
      <c r="T1155">
        <f t="shared" ref="T1155:T1218" si="126">SUM(J1155:P1155)</f>
        <v>3166.6779999999999</v>
      </c>
      <c r="U1155">
        <f t="shared" ref="U1155:U1218" si="127">PRODUCT(100,H1155)</f>
        <v>15</v>
      </c>
      <c r="V1155">
        <f t="shared" ref="V1155:V1218" si="128">PRODUCT(D1155:E1155)</f>
        <v>3706.68</v>
      </c>
      <c r="W1155">
        <f t="shared" ref="W1155:W1218" si="129" xml:space="preserve"> V1155-J1155</f>
        <v>556.00199999999995</v>
      </c>
      <c r="X1155">
        <f t="shared" ref="X1155:X1218" si="130">R1155-Q1155</f>
        <v>10</v>
      </c>
      <c r="Y1155" cm="1">
        <f t="array" ref="Y1155">_xlfn.IFS(H1155=0.1,1,H1155=0.15,1,H1155=0.05,1,H1155=0,0)</f>
        <v>1</v>
      </c>
      <c r="Z1155">
        <f t="shared" ref="Z1155:Z1218" si="131">PRODUCT(Y1155,D1155)</f>
        <v>17</v>
      </c>
      <c r="AA1155">
        <f t="shared" ref="AA1155:AA1218" si="132">YEAR(A1155)</f>
        <v>2023</v>
      </c>
    </row>
    <row r="1156" spans="1:27" x14ac:dyDescent="0.3">
      <c r="A1156" s="2">
        <v>44986</v>
      </c>
      <c r="B1156" t="s">
        <v>29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65</v>
      </c>
      <c r="L1156" t="s">
        <v>59</v>
      </c>
      <c r="M1156">
        <v>0</v>
      </c>
      <c r="N1156" t="s">
        <v>2288</v>
      </c>
      <c r="O1156" t="s">
        <v>2289</v>
      </c>
      <c r="P1156">
        <v>31.55</v>
      </c>
      <c r="Q1156" s="2">
        <v>44986</v>
      </c>
      <c r="R1156" s="2">
        <v>44989</v>
      </c>
      <c r="S1156" t="s">
        <v>38</v>
      </c>
      <c r="T1156">
        <f t="shared" si="126"/>
        <v>322.87700000000001</v>
      </c>
      <c r="U1156">
        <f t="shared" si="127"/>
        <v>5</v>
      </c>
      <c r="V1156">
        <f t="shared" si="128"/>
        <v>306.66000000000003</v>
      </c>
      <c r="W1156">
        <f t="shared" si="129"/>
        <v>15.333000000000027</v>
      </c>
      <c r="X1156">
        <f t="shared" si="130"/>
        <v>3</v>
      </c>
      <c r="Y1156" cm="1">
        <f t="array" ref="Y1156">_xlfn.IFS(H1156=0.1,1,H1156=0.15,1,H1156=0.05,1,H1156=0,0)</f>
        <v>1</v>
      </c>
      <c r="Z1156">
        <f t="shared" si="131"/>
        <v>2</v>
      </c>
      <c r="AA1156">
        <f t="shared" si="132"/>
        <v>2023</v>
      </c>
    </row>
    <row r="1157" spans="1:27" x14ac:dyDescent="0.3">
      <c r="A1157" s="2">
        <v>45699</v>
      </c>
      <c r="B1157" t="s">
        <v>39</v>
      </c>
      <c r="C1157" t="s">
        <v>132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2290</v>
      </c>
      <c r="O1157" t="s">
        <v>2291</v>
      </c>
      <c r="P1157">
        <v>6.28</v>
      </c>
      <c r="Q1157" s="2">
        <v>45699</v>
      </c>
      <c r="R1157" s="2">
        <v>45703</v>
      </c>
      <c r="S1157" t="s">
        <v>44</v>
      </c>
      <c r="T1157">
        <f t="shared" si="126"/>
        <v>2282.3440000000001</v>
      </c>
      <c r="U1157">
        <f t="shared" si="127"/>
        <v>10</v>
      </c>
      <c r="V1157">
        <f t="shared" si="128"/>
        <v>2528.96</v>
      </c>
      <c r="W1157">
        <f t="shared" si="129"/>
        <v>252.89600000000019</v>
      </c>
      <c r="X1157">
        <f t="shared" si="130"/>
        <v>4</v>
      </c>
      <c r="Y1157" cm="1">
        <f t="array" ref="Y1157">_xlfn.IFS(H1157=0.1,1,H1157=0.15,1,H1157=0.05,1,H1157=0,0)</f>
        <v>1</v>
      </c>
      <c r="Z1157">
        <f t="shared" si="131"/>
        <v>8</v>
      </c>
      <c r="AA1157">
        <f t="shared" si="132"/>
        <v>2025</v>
      </c>
    </row>
    <row r="1158" spans="1:27" x14ac:dyDescent="0.3">
      <c r="A1158" s="2">
        <v>45097</v>
      </c>
      <c r="B1158" t="s">
        <v>45</v>
      </c>
      <c r="C1158" t="s">
        <v>132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L1158" t="s">
        <v>59</v>
      </c>
      <c r="M1158">
        <v>0</v>
      </c>
      <c r="N1158" t="s">
        <v>2292</v>
      </c>
      <c r="O1158" t="s">
        <v>2293</v>
      </c>
      <c r="P1158">
        <v>27.98</v>
      </c>
      <c r="Q1158" s="2">
        <v>45097</v>
      </c>
      <c r="R1158" s="2">
        <v>45102</v>
      </c>
      <c r="S1158" t="s">
        <v>50</v>
      </c>
      <c r="T1158">
        <f t="shared" si="126"/>
        <v>1924.5695000000001</v>
      </c>
      <c r="U1158">
        <f t="shared" si="127"/>
        <v>5</v>
      </c>
      <c r="V1158">
        <f t="shared" si="128"/>
        <v>1996.4099999999999</v>
      </c>
      <c r="W1158">
        <f t="shared" si="129"/>
        <v>99.820499999999811</v>
      </c>
      <c r="X1158">
        <f t="shared" si="130"/>
        <v>5</v>
      </c>
      <c r="Y1158" cm="1">
        <f t="array" ref="Y1158">_xlfn.IFS(H1158=0.1,1,H1158=0.15,1,H1158=0.05,1,H1158=0,0)</f>
        <v>1</v>
      </c>
      <c r="Z1158">
        <f t="shared" si="131"/>
        <v>13</v>
      </c>
      <c r="AA1158">
        <f t="shared" si="132"/>
        <v>2023</v>
      </c>
    </row>
    <row r="1159" spans="1:27" x14ac:dyDescent="0.3">
      <c r="A1159" s="2">
        <v>45351</v>
      </c>
      <c r="B1159" t="s">
        <v>71</v>
      </c>
      <c r="C1159" t="s">
        <v>132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2294</v>
      </c>
      <c r="O1159" t="s">
        <v>2295</v>
      </c>
      <c r="P1159">
        <v>26.57</v>
      </c>
      <c r="Q1159" s="2">
        <v>45351</v>
      </c>
      <c r="R1159" s="2">
        <v>45354</v>
      </c>
      <c r="S1159" t="s">
        <v>74</v>
      </c>
      <c r="T1159">
        <f t="shared" si="126"/>
        <v>1411.8315</v>
      </c>
      <c r="U1159">
        <f t="shared" si="127"/>
        <v>5</v>
      </c>
      <c r="V1159">
        <f t="shared" si="128"/>
        <v>1458.17</v>
      </c>
      <c r="W1159">
        <f t="shared" si="129"/>
        <v>72.908500000000004</v>
      </c>
      <c r="X1159">
        <f t="shared" si="130"/>
        <v>3</v>
      </c>
      <c r="Y1159" cm="1">
        <f t="array" ref="Y1159">_xlfn.IFS(H1159=0.1,1,H1159=0.15,1,H1159=0.05,1,H1159=0,0)</f>
        <v>1</v>
      </c>
      <c r="Z1159">
        <f t="shared" si="131"/>
        <v>7</v>
      </c>
      <c r="AA1159">
        <f t="shared" si="132"/>
        <v>2024</v>
      </c>
    </row>
    <row r="1160" spans="1:27" x14ac:dyDescent="0.3">
      <c r="A1160" s="2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2296</v>
      </c>
      <c r="O1160" t="s">
        <v>2297</v>
      </c>
      <c r="P1160">
        <v>44.97</v>
      </c>
      <c r="Q1160" s="2">
        <v>45838</v>
      </c>
      <c r="R1160" s="2">
        <v>45843</v>
      </c>
      <c r="S1160" t="s">
        <v>44</v>
      </c>
      <c r="T1160">
        <f t="shared" si="126"/>
        <v>334.69799999999998</v>
      </c>
      <c r="U1160">
        <f t="shared" si="127"/>
        <v>10</v>
      </c>
      <c r="V1160">
        <f t="shared" si="128"/>
        <v>321.92</v>
      </c>
      <c r="W1160">
        <f t="shared" si="129"/>
        <v>32.192000000000007</v>
      </c>
      <c r="X1160">
        <f t="shared" si="130"/>
        <v>5</v>
      </c>
      <c r="Y1160" cm="1">
        <f t="array" ref="Y1160">_xlfn.IFS(H1160=0.1,1,H1160=0.15,1,H1160=0.05,1,H1160=0,0)</f>
        <v>1</v>
      </c>
      <c r="Z1160">
        <f t="shared" si="131"/>
        <v>2</v>
      </c>
      <c r="AA1160">
        <f t="shared" si="132"/>
        <v>2025</v>
      </c>
    </row>
    <row r="1161" spans="1:27" x14ac:dyDescent="0.3">
      <c r="A1161" s="2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65</v>
      </c>
      <c r="L1161" t="s">
        <v>41</v>
      </c>
      <c r="M1161">
        <v>1</v>
      </c>
      <c r="N1161" t="s">
        <v>2298</v>
      </c>
      <c r="O1161" t="s">
        <v>2299</v>
      </c>
      <c r="P1161">
        <v>17.62</v>
      </c>
      <c r="Q1161" s="2">
        <v>45523</v>
      </c>
      <c r="R1161" s="2">
        <v>45529</v>
      </c>
      <c r="S1161" t="s">
        <v>44</v>
      </c>
      <c r="T1161">
        <f t="shared" si="126"/>
        <v>1027.799</v>
      </c>
      <c r="U1161">
        <f t="shared" si="127"/>
        <v>10</v>
      </c>
      <c r="V1161">
        <f t="shared" si="128"/>
        <v>1121.31</v>
      </c>
      <c r="W1161">
        <f t="shared" si="129"/>
        <v>112.13099999999997</v>
      </c>
      <c r="X1161">
        <f t="shared" si="130"/>
        <v>6</v>
      </c>
      <c r="Y1161" cm="1">
        <f t="array" ref="Y1161">_xlfn.IFS(H1161=0.1,1,H1161=0.15,1,H1161=0.05,1,H1161=0,0)</f>
        <v>1</v>
      </c>
      <c r="Z1161">
        <f t="shared" si="131"/>
        <v>3</v>
      </c>
      <c r="AA1161">
        <f t="shared" si="132"/>
        <v>2024</v>
      </c>
    </row>
    <row r="1162" spans="1:27" x14ac:dyDescent="0.3">
      <c r="A1162" s="2">
        <v>45306</v>
      </c>
      <c r="B1162" t="s">
        <v>45</v>
      </c>
      <c r="C1162" t="s">
        <v>132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2300</v>
      </c>
      <c r="O1162" t="s">
        <v>2301</v>
      </c>
      <c r="P1162">
        <v>29.6</v>
      </c>
      <c r="Q1162" s="2">
        <v>45306</v>
      </c>
      <c r="R1162" s="2">
        <v>45310</v>
      </c>
      <c r="S1162" t="s">
        <v>50</v>
      </c>
      <c r="T1162">
        <f t="shared" si="126"/>
        <v>3642.2</v>
      </c>
      <c r="U1162">
        <f t="shared" si="127"/>
        <v>10</v>
      </c>
      <c r="V1162">
        <f t="shared" si="128"/>
        <v>4014</v>
      </c>
      <c r="W1162">
        <f t="shared" si="129"/>
        <v>401.40000000000009</v>
      </c>
      <c r="X1162">
        <f t="shared" si="130"/>
        <v>4</v>
      </c>
      <c r="Y1162" cm="1">
        <f t="array" ref="Y1162">_xlfn.IFS(H1162=0.1,1,H1162=0.15,1,H1162=0.05,1,H1162=0,0)</f>
        <v>1</v>
      </c>
      <c r="Z1162">
        <f t="shared" si="131"/>
        <v>20</v>
      </c>
      <c r="AA1162">
        <f t="shared" si="132"/>
        <v>2024</v>
      </c>
    </row>
    <row r="1163" spans="1:27" x14ac:dyDescent="0.3">
      <c r="A1163" s="2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2302</v>
      </c>
      <c r="O1163" t="s">
        <v>2303</v>
      </c>
      <c r="P1163">
        <v>20.12</v>
      </c>
      <c r="Q1163" s="2">
        <v>45512</v>
      </c>
      <c r="R1163" s="2">
        <v>45515</v>
      </c>
      <c r="S1163" t="s">
        <v>50</v>
      </c>
      <c r="T1163">
        <f t="shared" si="126"/>
        <v>1398.7829999999999</v>
      </c>
      <c r="U1163">
        <f t="shared" si="127"/>
        <v>15</v>
      </c>
      <c r="V1163">
        <f t="shared" si="128"/>
        <v>1620.78</v>
      </c>
      <c r="W1163">
        <f t="shared" si="129"/>
        <v>243.11699999999996</v>
      </c>
      <c r="X1163">
        <f t="shared" si="130"/>
        <v>3</v>
      </c>
      <c r="Y1163" cm="1">
        <f t="array" ref="Y1163">_xlfn.IFS(H1163=0.1,1,H1163=0.15,1,H1163=0.05,1,H1163=0,0)</f>
        <v>1</v>
      </c>
      <c r="Z1163">
        <f t="shared" si="131"/>
        <v>14</v>
      </c>
      <c r="AA1163">
        <f t="shared" si="132"/>
        <v>2024</v>
      </c>
    </row>
    <row r="1164" spans="1:27" x14ac:dyDescent="0.3">
      <c r="A1164" s="2">
        <v>45570</v>
      </c>
      <c r="B1164" t="s">
        <v>71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L1164" t="s">
        <v>59</v>
      </c>
      <c r="M1164">
        <v>0</v>
      </c>
      <c r="N1164" t="s">
        <v>2304</v>
      </c>
      <c r="O1164" t="s">
        <v>2305</v>
      </c>
      <c r="P1164">
        <v>27.82</v>
      </c>
      <c r="Q1164" s="2">
        <v>45570</v>
      </c>
      <c r="R1164" s="2">
        <v>45572</v>
      </c>
      <c r="S1164" t="s">
        <v>74</v>
      </c>
      <c r="T1164">
        <f t="shared" si="126"/>
        <v>5810.2479999999996</v>
      </c>
      <c r="U1164">
        <f t="shared" si="127"/>
        <v>10</v>
      </c>
      <c r="V1164">
        <f t="shared" si="128"/>
        <v>6424.92</v>
      </c>
      <c r="W1164">
        <f t="shared" si="129"/>
        <v>642.49200000000019</v>
      </c>
      <c r="X1164">
        <f t="shared" si="130"/>
        <v>2</v>
      </c>
      <c r="Y1164" cm="1">
        <f t="array" ref="Y1164">_xlfn.IFS(H1164=0.1,1,H1164=0.15,1,H1164=0.05,1,H1164=0,0)</f>
        <v>1</v>
      </c>
      <c r="Z1164">
        <f t="shared" si="131"/>
        <v>12</v>
      </c>
      <c r="AA1164">
        <f t="shared" si="132"/>
        <v>2024</v>
      </c>
    </row>
    <row r="1165" spans="1:27" x14ac:dyDescent="0.3">
      <c r="A1165" s="2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62</v>
      </c>
      <c r="L1165" t="s">
        <v>25</v>
      </c>
      <c r="M1165">
        <v>0</v>
      </c>
      <c r="N1165" t="s">
        <v>2306</v>
      </c>
      <c r="O1165" t="s">
        <v>2307</v>
      </c>
      <c r="P1165">
        <v>48.11</v>
      </c>
      <c r="Q1165" s="2">
        <v>45304</v>
      </c>
      <c r="R1165" s="2">
        <v>45312</v>
      </c>
      <c r="S1165" t="s">
        <v>38</v>
      </c>
      <c r="T1165">
        <f t="shared" si="126"/>
        <v>1166.8819999999998</v>
      </c>
      <c r="U1165">
        <f t="shared" si="127"/>
        <v>10</v>
      </c>
      <c r="V1165">
        <f t="shared" si="128"/>
        <v>1243.08</v>
      </c>
      <c r="W1165">
        <f t="shared" si="129"/>
        <v>124.30799999999999</v>
      </c>
      <c r="X1165">
        <f t="shared" si="130"/>
        <v>8</v>
      </c>
      <c r="Y1165" cm="1">
        <f t="array" ref="Y1165">_xlfn.IFS(H1165=0.1,1,H1165=0.15,1,H1165=0.05,1,H1165=0,0)</f>
        <v>1</v>
      </c>
      <c r="Z1165">
        <f t="shared" si="131"/>
        <v>12</v>
      </c>
      <c r="AA1165">
        <f t="shared" si="132"/>
        <v>2024</v>
      </c>
    </row>
    <row r="1166" spans="1:27" x14ac:dyDescent="0.3">
      <c r="A1166" s="2">
        <v>45014</v>
      </c>
      <c r="B1166" t="s">
        <v>71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62</v>
      </c>
      <c r="L1166" t="s">
        <v>59</v>
      </c>
      <c r="M1166">
        <v>0</v>
      </c>
      <c r="N1166" t="s">
        <v>2308</v>
      </c>
      <c r="O1166" t="s">
        <v>2309</v>
      </c>
      <c r="P1166">
        <v>36.35</v>
      </c>
      <c r="Q1166" s="2">
        <v>45014</v>
      </c>
      <c r="R1166" s="2">
        <v>45020</v>
      </c>
      <c r="S1166" t="s">
        <v>74</v>
      </c>
      <c r="T1166">
        <f t="shared" si="126"/>
        <v>3051.422</v>
      </c>
      <c r="U1166">
        <f t="shared" si="127"/>
        <v>5</v>
      </c>
      <c r="V1166">
        <f t="shared" si="128"/>
        <v>3173.7599999999998</v>
      </c>
      <c r="W1166">
        <f t="shared" si="129"/>
        <v>158.68799999999965</v>
      </c>
      <c r="X1166">
        <f t="shared" si="130"/>
        <v>6</v>
      </c>
      <c r="Y1166" cm="1">
        <f t="array" ref="Y1166">_xlfn.IFS(H1166=0.1,1,H1166=0.15,1,H1166=0.05,1,H1166=0,0)</f>
        <v>1</v>
      </c>
      <c r="Z1166">
        <f t="shared" si="131"/>
        <v>18</v>
      </c>
      <c r="AA1166">
        <f t="shared" si="132"/>
        <v>2023</v>
      </c>
    </row>
    <row r="1167" spans="1:27" x14ac:dyDescent="0.3">
      <c r="A1167" s="2">
        <v>45218</v>
      </c>
      <c r="B1167" t="s">
        <v>39</v>
      </c>
      <c r="C1167" t="s">
        <v>132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68</v>
      </c>
      <c r="J1167">
        <v>505.98000000000008</v>
      </c>
      <c r="K1167" t="s">
        <v>58</v>
      </c>
      <c r="L1167" t="s">
        <v>59</v>
      </c>
      <c r="M1167">
        <v>1</v>
      </c>
      <c r="N1167" t="s">
        <v>2310</v>
      </c>
      <c r="O1167" t="s">
        <v>363</v>
      </c>
      <c r="P1167">
        <v>7.46</v>
      </c>
      <c r="Q1167" s="2">
        <v>45218</v>
      </c>
      <c r="R1167" s="2">
        <v>45222</v>
      </c>
      <c r="S1167" t="s">
        <v>44</v>
      </c>
      <c r="T1167">
        <f t="shared" si="126"/>
        <v>514.44000000000005</v>
      </c>
      <c r="U1167">
        <f t="shared" si="127"/>
        <v>10</v>
      </c>
      <c r="V1167">
        <f t="shared" si="128"/>
        <v>562.20000000000005</v>
      </c>
      <c r="W1167">
        <f t="shared" si="129"/>
        <v>56.21999999999997</v>
      </c>
      <c r="X1167">
        <f t="shared" si="130"/>
        <v>4</v>
      </c>
      <c r="Y1167" cm="1">
        <f t="array" ref="Y1167">_xlfn.IFS(H1167=0.1,1,H1167=0.15,1,H1167=0.05,1,H1167=0,0)</f>
        <v>1</v>
      </c>
      <c r="Z1167">
        <f t="shared" si="131"/>
        <v>5</v>
      </c>
      <c r="AA1167">
        <f t="shared" si="132"/>
        <v>2023</v>
      </c>
    </row>
    <row r="1168" spans="1:27" x14ac:dyDescent="0.3">
      <c r="A1168" s="2">
        <v>45222</v>
      </c>
      <c r="B1168" t="s">
        <v>71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68</v>
      </c>
      <c r="J1168">
        <v>386</v>
      </c>
      <c r="K1168" t="s">
        <v>62</v>
      </c>
      <c r="L1168" t="s">
        <v>35</v>
      </c>
      <c r="M1168">
        <v>0</v>
      </c>
      <c r="N1168" t="s">
        <v>2311</v>
      </c>
      <c r="O1168" t="s">
        <v>2312</v>
      </c>
      <c r="P1168">
        <v>47.23</v>
      </c>
      <c r="Q1168" s="2">
        <v>45222</v>
      </c>
      <c r="R1168" s="2">
        <v>45231</v>
      </c>
      <c r="S1168" t="s">
        <v>74</v>
      </c>
      <c r="T1168">
        <f t="shared" si="126"/>
        <v>433.23</v>
      </c>
      <c r="U1168">
        <f t="shared" si="127"/>
        <v>0</v>
      </c>
      <c r="V1168">
        <f t="shared" si="128"/>
        <v>386</v>
      </c>
      <c r="W1168">
        <f t="shared" si="129"/>
        <v>0</v>
      </c>
      <c r="X1168">
        <f t="shared" si="130"/>
        <v>9</v>
      </c>
      <c r="Y1168" cm="1">
        <f t="array" ref="Y1168">_xlfn.IFS(H1168=0.1,1,H1168=0.15,1,H1168=0.05,1,H1168=0,0)</f>
        <v>0</v>
      </c>
      <c r="Z1168">
        <f t="shared" si="131"/>
        <v>0</v>
      </c>
      <c r="AA1168">
        <f t="shared" si="132"/>
        <v>2023</v>
      </c>
    </row>
    <row r="1169" spans="1:27" x14ac:dyDescent="0.3">
      <c r="A1169" s="2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62</v>
      </c>
      <c r="L1169" t="s">
        <v>41</v>
      </c>
      <c r="M1169">
        <v>0</v>
      </c>
      <c r="N1169" t="s">
        <v>2313</v>
      </c>
      <c r="O1169" t="s">
        <v>2314</v>
      </c>
      <c r="P1169">
        <v>31.43</v>
      </c>
      <c r="Q1169" s="2">
        <v>45009</v>
      </c>
      <c r="R1169" s="2">
        <v>45013</v>
      </c>
      <c r="S1169" t="s">
        <v>38</v>
      </c>
      <c r="T1169">
        <f t="shared" si="126"/>
        <v>2024.5205000000001</v>
      </c>
      <c r="U1169">
        <f t="shared" si="127"/>
        <v>5</v>
      </c>
      <c r="V1169">
        <f t="shared" si="128"/>
        <v>2097.9900000000002</v>
      </c>
      <c r="W1169">
        <f t="shared" si="129"/>
        <v>104.89950000000022</v>
      </c>
      <c r="X1169">
        <f t="shared" si="130"/>
        <v>4</v>
      </c>
      <c r="Y1169" cm="1">
        <f t="array" ref="Y1169">_xlfn.IFS(H1169=0.1,1,H1169=0.15,1,H1169=0.05,1,H1169=0,0)</f>
        <v>1</v>
      </c>
      <c r="Z1169">
        <f t="shared" si="131"/>
        <v>9</v>
      </c>
      <c r="AA1169">
        <f t="shared" si="132"/>
        <v>2023</v>
      </c>
    </row>
    <row r="1170" spans="1:27" x14ac:dyDescent="0.3">
      <c r="A1170" s="2">
        <v>45513</v>
      </c>
      <c r="B1170" t="s">
        <v>71</v>
      </c>
      <c r="C1170" t="s">
        <v>132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960.63600000000008</v>
      </c>
      <c r="K1170" t="s">
        <v>34</v>
      </c>
      <c r="L1170" t="s">
        <v>41</v>
      </c>
      <c r="M1170">
        <v>1</v>
      </c>
      <c r="N1170" t="s">
        <v>2315</v>
      </c>
      <c r="O1170" t="s">
        <v>2316</v>
      </c>
      <c r="P1170">
        <v>10.79</v>
      </c>
      <c r="Q1170" s="2">
        <v>45513</v>
      </c>
      <c r="R1170" s="2">
        <v>45518</v>
      </c>
      <c r="S1170" t="s">
        <v>74</v>
      </c>
      <c r="T1170">
        <f t="shared" si="126"/>
        <v>972.42600000000004</v>
      </c>
      <c r="U1170">
        <f t="shared" si="127"/>
        <v>15</v>
      </c>
      <c r="V1170">
        <f t="shared" si="128"/>
        <v>1130.1600000000001</v>
      </c>
      <c r="W1170">
        <f t="shared" si="129"/>
        <v>169.524</v>
      </c>
      <c r="X1170">
        <f t="shared" si="130"/>
        <v>5</v>
      </c>
      <c r="Y1170" cm="1">
        <f t="array" ref="Y1170">_xlfn.IFS(H1170=0.1,1,H1170=0.15,1,H1170=0.05,1,H1170=0,0)</f>
        <v>1</v>
      </c>
      <c r="Z1170">
        <f t="shared" si="131"/>
        <v>17</v>
      </c>
      <c r="AA1170">
        <f t="shared" si="132"/>
        <v>2024</v>
      </c>
    </row>
    <row r="1171" spans="1:27" x14ac:dyDescent="0.3">
      <c r="A1171" s="2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</v>
      </c>
      <c r="K1171" t="s">
        <v>24</v>
      </c>
      <c r="L1171" t="s">
        <v>41</v>
      </c>
      <c r="M1171">
        <v>1</v>
      </c>
      <c r="N1171" t="s">
        <v>2317</v>
      </c>
      <c r="O1171" t="s">
        <v>2318</v>
      </c>
      <c r="P1171">
        <v>48.33</v>
      </c>
      <c r="Q1171" s="2">
        <v>45042</v>
      </c>
      <c r="R1171" s="2">
        <v>45052</v>
      </c>
      <c r="S1171" t="s">
        <v>38</v>
      </c>
      <c r="T1171">
        <f t="shared" si="126"/>
        <v>7770.168999999999</v>
      </c>
      <c r="U1171">
        <f t="shared" si="127"/>
        <v>10</v>
      </c>
      <c r="V1171">
        <f t="shared" si="128"/>
        <v>8578.7099999999991</v>
      </c>
      <c r="W1171">
        <f t="shared" si="129"/>
        <v>857.87100000000009</v>
      </c>
      <c r="X1171">
        <f t="shared" si="130"/>
        <v>10</v>
      </c>
      <c r="Y1171" cm="1">
        <f t="array" ref="Y1171">_xlfn.IFS(H1171=0.1,1,H1171=0.15,1,H1171=0.05,1,H1171=0,0)</f>
        <v>1</v>
      </c>
      <c r="Z1171">
        <f t="shared" si="131"/>
        <v>17</v>
      </c>
      <c r="AA1171">
        <f t="shared" si="132"/>
        <v>2023</v>
      </c>
    </row>
    <row r="1172" spans="1:27" x14ac:dyDescent="0.3">
      <c r="A1172" s="2">
        <v>45355</v>
      </c>
      <c r="B1172" t="s">
        <v>71</v>
      </c>
      <c r="C1172" t="s">
        <v>81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62</v>
      </c>
      <c r="L1172" t="s">
        <v>35</v>
      </c>
      <c r="M1172">
        <v>1</v>
      </c>
      <c r="N1172" t="s">
        <v>2319</v>
      </c>
      <c r="O1172" t="s">
        <v>2320</v>
      </c>
      <c r="P1172">
        <v>45.97</v>
      </c>
      <c r="Q1172" s="2">
        <v>45355</v>
      </c>
      <c r="R1172" s="2">
        <v>45363</v>
      </c>
      <c r="S1172" t="s">
        <v>74</v>
      </c>
      <c r="T1172">
        <f t="shared" si="126"/>
        <v>1069.3979999999999</v>
      </c>
      <c r="U1172">
        <f t="shared" si="127"/>
        <v>5</v>
      </c>
      <c r="V1172">
        <f t="shared" si="128"/>
        <v>1076.24</v>
      </c>
      <c r="W1172">
        <f t="shared" si="129"/>
        <v>53.812000000000012</v>
      </c>
      <c r="X1172">
        <f t="shared" si="130"/>
        <v>8</v>
      </c>
      <c r="Y1172" cm="1">
        <f t="array" ref="Y1172">_xlfn.IFS(H1172=0.1,1,H1172=0.15,1,H1172=0.05,1,H1172=0,0)</f>
        <v>1</v>
      </c>
      <c r="Z1172">
        <f t="shared" si="131"/>
        <v>11</v>
      </c>
      <c r="AA1172">
        <f t="shared" si="132"/>
        <v>2024</v>
      </c>
    </row>
    <row r="1173" spans="1:27" x14ac:dyDescent="0.3">
      <c r="A1173" s="2">
        <v>44971</v>
      </c>
      <c r="B1173" t="s">
        <v>19</v>
      </c>
      <c r="C1173" t="s">
        <v>81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68</v>
      </c>
      <c r="J1173">
        <v>2785.433</v>
      </c>
      <c r="K1173" t="s">
        <v>65</v>
      </c>
      <c r="L1173" t="s">
        <v>35</v>
      </c>
      <c r="M1173">
        <v>0</v>
      </c>
      <c r="N1173" t="s">
        <v>2321</v>
      </c>
      <c r="O1173" t="s">
        <v>2322</v>
      </c>
      <c r="P1173">
        <v>47.56</v>
      </c>
      <c r="Q1173" s="2">
        <v>44971</v>
      </c>
      <c r="R1173" s="2">
        <v>44974</v>
      </c>
      <c r="S1173" t="s">
        <v>28</v>
      </c>
      <c r="T1173">
        <f t="shared" si="126"/>
        <v>2832.9929999999999</v>
      </c>
      <c r="U1173">
        <f t="shared" si="127"/>
        <v>15</v>
      </c>
      <c r="V1173">
        <f t="shared" si="128"/>
        <v>3276.98</v>
      </c>
      <c r="W1173">
        <f t="shared" si="129"/>
        <v>491.54700000000003</v>
      </c>
      <c r="X1173">
        <f t="shared" si="130"/>
        <v>3</v>
      </c>
      <c r="Y1173" cm="1">
        <f t="array" ref="Y1173">_xlfn.IFS(H1173=0.1,1,H1173=0.15,1,H1173=0.05,1,H1173=0,0)</f>
        <v>1</v>
      </c>
      <c r="Z1173">
        <f t="shared" si="131"/>
        <v>7</v>
      </c>
      <c r="AA1173">
        <f t="shared" si="132"/>
        <v>2023</v>
      </c>
    </row>
    <row r="1174" spans="1:27" x14ac:dyDescent="0.3">
      <c r="A1174" s="2">
        <v>45044</v>
      </c>
      <c r="B1174" t="s">
        <v>71</v>
      </c>
      <c r="C1174" t="s">
        <v>81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68</v>
      </c>
      <c r="J1174">
        <v>9057.1099999999988</v>
      </c>
      <c r="K1174" t="s">
        <v>24</v>
      </c>
      <c r="L1174" t="s">
        <v>41</v>
      </c>
      <c r="M1174">
        <v>0</v>
      </c>
      <c r="N1174" t="s">
        <v>2323</v>
      </c>
      <c r="O1174" t="s">
        <v>2324</v>
      </c>
      <c r="P1174">
        <v>10.199999999999999</v>
      </c>
      <c r="Q1174" s="2">
        <v>45044</v>
      </c>
      <c r="R1174" s="2">
        <v>45049</v>
      </c>
      <c r="S1174" t="s">
        <v>74</v>
      </c>
      <c r="T1174">
        <f t="shared" si="126"/>
        <v>9067.31</v>
      </c>
      <c r="U1174">
        <f t="shared" si="127"/>
        <v>5</v>
      </c>
      <c r="V1174">
        <f t="shared" si="128"/>
        <v>9533.7999999999993</v>
      </c>
      <c r="W1174">
        <f t="shared" si="129"/>
        <v>476.69000000000051</v>
      </c>
      <c r="X1174">
        <f t="shared" si="130"/>
        <v>5</v>
      </c>
      <c r="Y1174" cm="1">
        <f t="array" ref="Y1174">_xlfn.IFS(H1174=0.1,1,H1174=0.15,1,H1174=0.05,1,H1174=0,0)</f>
        <v>1</v>
      </c>
      <c r="Z1174">
        <f t="shared" si="131"/>
        <v>20</v>
      </c>
      <c r="AA1174">
        <f t="shared" si="132"/>
        <v>2023</v>
      </c>
    </row>
    <row r="1175" spans="1:27" x14ac:dyDescent="0.3">
      <c r="A1175" s="2">
        <v>45354</v>
      </c>
      <c r="B1175" t="s">
        <v>39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65</v>
      </c>
      <c r="L1175" t="s">
        <v>25</v>
      </c>
      <c r="M1175">
        <v>0</v>
      </c>
      <c r="N1175" t="s">
        <v>2325</v>
      </c>
      <c r="O1175" t="s">
        <v>2326</v>
      </c>
      <c r="P1175">
        <v>20.18</v>
      </c>
      <c r="Q1175" s="2">
        <v>45354</v>
      </c>
      <c r="R1175" s="2">
        <v>45362</v>
      </c>
      <c r="S1175" t="s">
        <v>44</v>
      </c>
      <c r="T1175">
        <f t="shared" si="126"/>
        <v>293.42099999999999</v>
      </c>
      <c r="U1175">
        <f t="shared" si="127"/>
        <v>15</v>
      </c>
      <c r="V1175">
        <f t="shared" si="128"/>
        <v>321.45999999999998</v>
      </c>
      <c r="W1175">
        <f t="shared" si="129"/>
        <v>48.218999999999994</v>
      </c>
      <c r="X1175">
        <f t="shared" si="130"/>
        <v>8</v>
      </c>
      <c r="Y1175" cm="1">
        <f t="array" ref="Y1175">_xlfn.IFS(H1175=0.1,1,H1175=0.15,1,H1175=0.05,1,H1175=0,0)</f>
        <v>1</v>
      </c>
      <c r="Z1175">
        <f t="shared" si="131"/>
        <v>2</v>
      </c>
      <c r="AA1175">
        <f t="shared" si="132"/>
        <v>2024</v>
      </c>
    </row>
    <row r="1176" spans="1:27" x14ac:dyDescent="0.3">
      <c r="A1176" s="2">
        <v>45539</v>
      </c>
      <c r="B1176" t="s">
        <v>71</v>
      </c>
      <c r="C1176" t="s">
        <v>81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2327</v>
      </c>
      <c r="O1176" t="s">
        <v>2328</v>
      </c>
      <c r="P1176">
        <v>45.79</v>
      </c>
      <c r="Q1176" s="2">
        <v>45539</v>
      </c>
      <c r="R1176" s="2">
        <v>45543</v>
      </c>
      <c r="S1176" t="s">
        <v>74</v>
      </c>
      <c r="T1176">
        <f t="shared" si="126"/>
        <v>1797.4869999999999</v>
      </c>
      <c r="U1176">
        <f t="shared" si="127"/>
        <v>15</v>
      </c>
      <c r="V1176">
        <f t="shared" si="128"/>
        <v>2060.8199999999997</v>
      </c>
      <c r="W1176">
        <f t="shared" si="129"/>
        <v>309.12299999999982</v>
      </c>
      <c r="X1176">
        <f t="shared" si="130"/>
        <v>4</v>
      </c>
      <c r="Y1176" cm="1">
        <f t="array" ref="Y1176">_xlfn.IFS(H1176=0.1,1,H1176=0.15,1,H1176=0.05,1,H1176=0,0)</f>
        <v>1</v>
      </c>
      <c r="Z1176">
        <f t="shared" si="131"/>
        <v>9</v>
      </c>
      <c r="AA1176">
        <f t="shared" si="132"/>
        <v>2024</v>
      </c>
    </row>
    <row r="1177" spans="1:27" x14ac:dyDescent="0.3">
      <c r="A1177" s="2">
        <v>45656</v>
      </c>
      <c r="B1177" t="s">
        <v>19</v>
      </c>
      <c r="C1177" t="s">
        <v>81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2329</v>
      </c>
      <c r="O1177" t="s">
        <v>2330</v>
      </c>
      <c r="P1177">
        <v>27.43</v>
      </c>
      <c r="Q1177" s="2">
        <v>45656</v>
      </c>
      <c r="R1177" s="2">
        <v>45664</v>
      </c>
      <c r="S1177" t="s">
        <v>28</v>
      </c>
      <c r="T1177">
        <f t="shared" si="126"/>
        <v>6420.93</v>
      </c>
      <c r="U1177">
        <f t="shared" si="127"/>
        <v>0</v>
      </c>
      <c r="V1177">
        <f t="shared" si="128"/>
        <v>6393.5</v>
      </c>
      <c r="W1177">
        <f t="shared" si="129"/>
        <v>0</v>
      </c>
      <c r="X1177">
        <f t="shared" si="130"/>
        <v>8</v>
      </c>
      <c r="Y1177" cm="1">
        <f t="array" ref="Y1177">_xlfn.IFS(H1177=0.1,1,H1177=0.15,1,H1177=0.05,1,H1177=0,0)</f>
        <v>0</v>
      </c>
      <c r="Z1177">
        <f t="shared" si="131"/>
        <v>0</v>
      </c>
      <c r="AA1177">
        <f t="shared" si="132"/>
        <v>2024</v>
      </c>
    </row>
    <row r="1178" spans="1:27" x14ac:dyDescent="0.3">
      <c r="A1178" s="2">
        <v>45332</v>
      </c>
      <c r="B1178" t="s">
        <v>19</v>
      </c>
      <c r="C1178" t="s">
        <v>132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68</v>
      </c>
      <c r="J1178">
        <v>7408.62</v>
      </c>
      <c r="K1178" t="s">
        <v>58</v>
      </c>
      <c r="L1178" t="s">
        <v>41</v>
      </c>
      <c r="M1178">
        <v>0</v>
      </c>
      <c r="N1178" t="s">
        <v>2331</v>
      </c>
      <c r="O1178" t="s">
        <v>2332</v>
      </c>
      <c r="P1178">
        <v>9.6199999999999992</v>
      </c>
      <c r="Q1178" s="2">
        <v>45332</v>
      </c>
      <c r="R1178" s="2">
        <v>45338</v>
      </c>
      <c r="S1178" t="s">
        <v>28</v>
      </c>
      <c r="T1178">
        <f t="shared" si="126"/>
        <v>7418.24</v>
      </c>
      <c r="U1178">
        <f t="shared" si="127"/>
        <v>0</v>
      </c>
      <c r="V1178">
        <f t="shared" si="128"/>
        <v>7408.62</v>
      </c>
      <c r="W1178">
        <f t="shared" si="129"/>
        <v>0</v>
      </c>
      <c r="X1178">
        <f t="shared" si="130"/>
        <v>6</v>
      </c>
      <c r="Y1178" cm="1">
        <f t="array" ref="Y1178">_xlfn.IFS(H1178=0.1,1,H1178=0.15,1,H1178=0.05,1,H1178=0,0)</f>
        <v>0</v>
      </c>
      <c r="Z1178">
        <f t="shared" si="131"/>
        <v>0</v>
      </c>
      <c r="AA1178">
        <f t="shared" si="132"/>
        <v>2024</v>
      </c>
    </row>
    <row r="1179" spans="1:27" x14ac:dyDescent="0.3">
      <c r="A1179" s="2">
        <v>45176</v>
      </c>
      <c r="B1179" t="s">
        <v>45</v>
      </c>
      <c r="C1179" t="s">
        <v>132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65</v>
      </c>
      <c r="L1179" t="s">
        <v>35</v>
      </c>
      <c r="M1179">
        <v>0</v>
      </c>
      <c r="N1179" t="s">
        <v>2333</v>
      </c>
      <c r="O1179" t="s">
        <v>2334</v>
      </c>
      <c r="P1179">
        <v>17.53</v>
      </c>
      <c r="Q1179" s="2">
        <v>45176</v>
      </c>
      <c r="R1179" s="2">
        <v>45184</v>
      </c>
      <c r="S1179" t="s">
        <v>50</v>
      </c>
      <c r="T1179">
        <f t="shared" si="126"/>
        <v>384.29650000000004</v>
      </c>
      <c r="U1179">
        <f t="shared" si="127"/>
        <v>15</v>
      </c>
      <c r="V1179">
        <f t="shared" si="128"/>
        <v>431.49</v>
      </c>
      <c r="W1179">
        <f t="shared" si="129"/>
        <v>64.723500000000001</v>
      </c>
      <c r="X1179">
        <f t="shared" si="130"/>
        <v>8</v>
      </c>
      <c r="Y1179" cm="1">
        <f t="array" ref="Y1179">_xlfn.IFS(H1179=0.1,1,H1179=0.15,1,H1179=0.05,1,H1179=0,0)</f>
        <v>1</v>
      </c>
      <c r="Z1179">
        <f t="shared" si="131"/>
        <v>1</v>
      </c>
      <c r="AA1179">
        <f t="shared" si="132"/>
        <v>2023</v>
      </c>
    </row>
    <row r="1180" spans="1:27" x14ac:dyDescent="0.3">
      <c r="A1180" s="2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2335</v>
      </c>
      <c r="O1180" t="s">
        <v>2336</v>
      </c>
      <c r="P1180">
        <v>14.88</v>
      </c>
      <c r="Q1180" s="2">
        <v>45149</v>
      </c>
      <c r="R1180" s="2">
        <v>45153</v>
      </c>
      <c r="S1180" t="s">
        <v>28</v>
      </c>
      <c r="T1180">
        <f t="shared" si="126"/>
        <v>8931.9</v>
      </c>
      <c r="U1180">
        <f t="shared" si="127"/>
        <v>0</v>
      </c>
      <c r="V1180">
        <f t="shared" si="128"/>
        <v>8917.02</v>
      </c>
      <c r="W1180">
        <f t="shared" si="129"/>
        <v>0</v>
      </c>
      <c r="X1180">
        <f t="shared" si="130"/>
        <v>4</v>
      </c>
      <c r="Y1180" cm="1">
        <f t="array" ref="Y1180">_xlfn.IFS(H1180=0.1,1,H1180=0.15,1,H1180=0.05,1,H1180=0,0)</f>
        <v>0</v>
      </c>
      <c r="Z1180">
        <f t="shared" si="131"/>
        <v>0</v>
      </c>
      <c r="AA1180">
        <f t="shared" si="132"/>
        <v>2023</v>
      </c>
    </row>
    <row r="1181" spans="1:27" x14ac:dyDescent="0.3">
      <c r="A1181" s="2">
        <v>44997</v>
      </c>
      <c r="B1181" t="s">
        <v>71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62</v>
      </c>
      <c r="L1181" t="s">
        <v>25</v>
      </c>
      <c r="M1181">
        <v>0</v>
      </c>
      <c r="N1181" t="s">
        <v>2337</v>
      </c>
      <c r="O1181" t="s">
        <v>2338</v>
      </c>
      <c r="P1181">
        <v>47.84</v>
      </c>
      <c r="Q1181" s="2">
        <v>44997</v>
      </c>
      <c r="R1181" s="2">
        <v>45001</v>
      </c>
      <c r="S1181" t="s">
        <v>74</v>
      </c>
      <c r="T1181">
        <f t="shared" si="126"/>
        <v>585.32000000000005</v>
      </c>
      <c r="U1181">
        <f t="shared" si="127"/>
        <v>10</v>
      </c>
      <c r="V1181">
        <f t="shared" si="128"/>
        <v>597.20000000000005</v>
      </c>
      <c r="W1181">
        <f t="shared" si="129"/>
        <v>59.720000000000027</v>
      </c>
      <c r="X1181">
        <f t="shared" si="130"/>
        <v>4</v>
      </c>
      <c r="Y1181" cm="1">
        <f t="array" ref="Y1181">_xlfn.IFS(H1181=0.1,1,H1181=0.15,1,H1181=0.05,1,H1181=0,0)</f>
        <v>1</v>
      </c>
      <c r="Z1181">
        <f t="shared" si="131"/>
        <v>4</v>
      </c>
      <c r="AA1181">
        <f t="shared" si="132"/>
        <v>2023</v>
      </c>
    </row>
    <row r="1182" spans="1:27" x14ac:dyDescent="0.3">
      <c r="A1182" s="2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65</v>
      </c>
      <c r="L1182" t="s">
        <v>35</v>
      </c>
      <c r="M1182">
        <v>0</v>
      </c>
      <c r="N1182" t="s">
        <v>2339</v>
      </c>
      <c r="O1182" t="s">
        <v>2340</v>
      </c>
      <c r="P1182">
        <v>22.15</v>
      </c>
      <c r="Q1182" s="2">
        <v>45014</v>
      </c>
      <c r="R1182" s="2">
        <v>45016</v>
      </c>
      <c r="S1182" t="s">
        <v>50</v>
      </c>
      <c r="T1182">
        <f t="shared" si="126"/>
        <v>2937.6640000000002</v>
      </c>
      <c r="U1182">
        <f t="shared" si="127"/>
        <v>10</v>
      </c>
      <c r="V1182">
        <f t="shared" si="128"/>
        <v>3239.46</v>
      </c>
      <c r="W1182">
        <f t="shared" si="129"/>
        <v>323.94599999999991</v>
      </c>
      <c r="X1182">
        <f t="shared" si="130"/>
        <v>2</v>
      </c>
      <c r="Y1182" cm="1">
        <f t="array" ref="Y1182">_xlfn.IFS(H1182=0.1,1,H1182=0.15,1,H1182=0.05,1,H1182=0,0)</f>
        <v>1</v>
      </c>
      <c r="Z1182">
        <f t="shared" si="131"/>
        <v>18</v>
      </c>
      <c r="AA1182">
        <f t="shared" si="132"/>
        <v>2023</v>
      </c>
    </row>
    <row r="1183" spans="1:27" x14ac:dyDescent="0.3">
      <c r="A1183" s="2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2341</v>
      </c>
      <c r="O1183" t="s">
        <v>2342</v>
      </c>
      <c r="P1183">
        <v>32.83</v>
      </c>
      <c r="Q1183" s="2">
        <v>45705</v>
      </c>
      <c r="R1183" s="2">
        <v>45715</v>
      </c>
      <c r="S1183" t="s">
        <v>38</v>
      </c>
      <c r="T1183">
        <f t="shared" si="126"/>
        <v>4015.7429999999999</v>
      </c>
      <c r="U1183">
        <f t="shared" si="127"/>
        <v>5</v>
      </c>
      <c r="V1183">
        <f t="shared" si="128"/>
        <v>4192.54</v>
      </c>
      <c r="W1183">
        <f t="shared" si="129"/>
        <v>209.62699999999995</v>
      </c>
      <c r="X1183">
        <f t="shared" si="130"/>
        <v>10</v>
      </c>
      <c r="Y1183" cm="1">
        <f t="array" ref="Y1183">_xlfn.IFS(H1183=0.1,1,H1183=0.15,1,H1183=0.05,1,H1183=0,0)</f>
        <v>1</v>
      </c>
      <c r="Z1183">
        <f t="shared" si="131"/>
        <v>11</v>
      </c>
      <c r="AA1183">
        <f t="shared" si="132"/>
        <v>2025</v>
      </c>
    </row>
    <row r="1184" spans="1:27" x14ac:dyDescent="0.3">
      <c r="A1184" s="2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L1184" t="s">
        <v>59</v>
      </c>
      <c r="M1184">
        <v>0</v>
      </c>
      <c r="N1184" t="s">
        <v>2343</v>
      </c>
      <c r="O1184" t="s">
        <v>2344</v>
      </c>
      <c r="P1184">
        <v>10.19</v>
      </c>
      <c r="Q1184" s="2">
        <v>45298</v>
      </c>
      <c r="R1184" s="2">
        <v>45306</v>
      </c>
      <c r="S1184" t="s">
        <v>44</v>
      </c>
      <c r="T1184">
        <f t="shared" si="126"/>
        <v>2169.6350000000002</v>
      </c>
      <c r="U1184">
        <f t="shared" si="127"/>
        <v>5</v>
      </c>
      <c r="V1184">
        <f t="shared" si="128"/>
        <v>2273.1</v>
      </c>
      <c r="W1184">
        <f t="shared" si="129"/>
        <v>113.65499999999975</v>
      </c>
      <c r="X1184">
        <f t="shared" si="130"/>
        <v>8</v>
      </c>
      <c r="Y1184" cm="1">
        <f t="array" ref="Y1184">_xlfn.IFS(H1184=0.1,1,H1184=0.15,1,H1184=0.05,1,H1184=0,0)</f>
        <v>1</v>
      </c>
      <c r="Z1184">
        <f t="shared" si="131"/>
        <v>5</v>
      </c>
      <c r="AA1184">
        <f t="shared" si="132"/>
        <v>2024</v>
      </c>
    </row>
    <row r="1185" spans="1:27" x14ac:dyDescent="0.3">
      <c r="A1185" s="2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2345</v>
      </c>
      <c r="O1185" t="s">
        <v>2346</v>
      </c>
      <c r="P1185">
        <v>36.89</v>
      </c>
      <c r="Q1185" s="2">
        <v>44940</v>
      </c>
      <c r="R1185" s="2">
        <v>44946</v>
      </c>
      <c r="S1185" t="s">
        <v>28</v>
      </c>
      <c r="T1185">
        <f t="shared" si="126"/>
        <v>3504.2579999999998</v>
      </c>
      <c r="U1185">
        <f t="shared" si="127"/>
        <v>10</v>
      </c>
      <c r="V1185">
        <f t="shared" si="128"/>
        <v>3851.52</v>
      </c>
      <c r="W1185">
        <f t="shared" si="129"/>
        <v>385.15200000000004</v>
      </c>
      <c r="X1185">
        <f t="shared" si="130"/>
        <v>6</v>
      </c>
      <c r="Y1185" cm="1">
        <f t="array" ref="Y1185">_xlfn.IFS(H1185=0.1,1,H1185=0.15,1,H1185=0.05,1,H1185=0,0)</f>
        <v>1</v>
      </c>
      <c r="Z1185">
        <f t="shared" si="131"/>
        <v>17</v>
      </c>
      <c r="AA1185">
        <f t="shared" si="132"/>
        <v>2023</v>
      </c>
    </row>
    <row r="1186" spans="1:27" x14ac:dyDescent="0.3">
      <c r="A1186" s="2">
        <v>45294</v>
      </c>
      <c r="B1186" t="s">
        <v>71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68</v>
      </c>
      <c r="J1186">
        <v>265.82</v>
      </c>
      <c r="K1186" t="s">
        <v>62</v>
      </c>
      <c r="L1186" t="s">
        <v>41</v>
      </c>
      <c r="M1186">
        <v>0</v>
      </c>
      <c r="N1186" t="s">
        <v>2347</v>
      </c>
      <c r="O1186" t="s">
        <v>2348</v>
      </c>
      <c r="P1186">
        <v>7.76</v>
      </c>
      <c r="Q1186" s="2">
        <v>45294</v>
      </c>
      <c r="R1186" s="2">
        <v>45303</v>
      </c>
      <c r="S1186" t="s">
        <v>74</v>
      </c>
      <c r="T1186">
        <f t="shared" si="126"/>
        <v>273.58</v>
      </c>
      <c r="U1186">
        <f t="shared" si="127"/>
        <v>0</v>
      </c>
      <c r="V1186">
        <f t="shared" si="128"/>
        <v>265.82</v>
      </c>
      <c r="W1186">
        <f t="shared" si="129"/>
        <v>0</v>
      </c>
      <c r="X1186">
        <f t="shared" si="130"/>
        <v>9</v>
      </c>
      <c r="Y1186" cm="1">
        <f t="array" ref="Y1186">_xlfn.IFS(H1186=0.1,1,H1186=0.15,1,H1186=0.05,1,H1186=0,0)</f>
        <v>0</v>
      </c>
      <c r="Z1186">
        <f t="shared" si="131"/>
        <v>0</v>
      </c>
      <c r="AA1186">
        <f t="shared" si="132"/>
        <v>2024</v>
      </c>
    </row>
    <row r="1187" spans="1:27" x14ac:dyDescent="0.3">
      <c r="A1187" s="2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62</v>
      </c>
      <c r="L1187" t="s">
        <v>25</v>
      </c>
      <c r="M1187">
        <v>0</v>
      </c>
      <c r="N1187" t="s">
        <v>2349</v>
      </c>
      <c r="O1187" t="s">
        <v>2350</v>
      </c>
      <c r="P1187">
        <v>39.89</v>
      </c>
      <c r="Q1187" s="2">
        <v>45163</v>
      </c>
      <c r="R1187" s="2">
        <v>45166</v>
      </c>
      <c r="S1187" t="s">
        <v>38</v>
      </c>
      <c r="T1187">
        <f t="shared" si="126"/>
        <v>111.27</v>
      </c>
      <c r="U1187">
        <f t="shared" si="127"/>
        <v>0</v>
      </c>
      <c r="V1187">
        <f t="shared" si="128"/>
        <v>71.38</v>
      </c>
      <c r="W1187">
        <f t="shared" si="129"/>
        <v>0</v>
      </c>
      <c r="X1187">
        <f t="shared" si="130"/>
        <v>3</v>
      </c>
      <c r="Y1187" cm="1">
        <f t="array" ref="Y1187">_xlfn.IFS(H1187=0.1,1,H1187=0.15,1,H1187=0.05,1,H1187=0,0)</f>
        <v>0</v>
      </c>
      <c r="Z1187">
        <f t="shared" si="131"/>
        <v>0</v>
      </c>
      <c r="AA1187">
        <f t="shared" si="132"/>
        <v>2023</v>
      </c>
    </row>
    <row r="1188" spans="1:27" x14ac:dyDescent="0.3">
      <c r="A1188" s="2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65</v>
      </c>
      <c r="L1188" t="s">
        <v>41</v>
      </c>
      <c r="M1188">
        <v>1</v>
      </c>
      <c r="N1188" t="s">
        <v>2351</v>
      </c>
      <c r="O1188" t="s">
        <v>2352</v>
      </c>
      <c r="P1188">
        <v>49.37</v>
      </c>
      <c r="Q1188" s="2">
        <v>45793</v>
      </c>
      <c r="R1188" s="2">
        <v>45802</v>
      </c>
      <c r="S1188" t="s">
        <v>44</v>
      </c>
      <c r="T1188">
        <f t="shared" si="126"/>
        <v>2355.2129999999997</v>
      </c>
      <c r="U1188">
        <f t="shared" si="127"/>
        <v>15</v>
      </c>
      <c r="V1188">
        <f t="shared" si="128"/>
        <v>2711.58</v>
      </c>
      <c r="W1188">
        <f t="shared" si="129"/>
        <v>406.73700000000008</v>
      </c>
      <c r="X1188">
        <f t="shared" si="130"/>
        <v>9</v>
      </c>
      <c r="Y1188" cm="1">
        <f t="array" ref="Y1188">_xlfn.IFS(H1188=0.1,1,H1188=0.15,1,H1188=0.05,1,H1188=0,0)</f>
        <v>1</v>
      </c>
      <c r="Z1188">
        <f t="shared" si="131"/>
        <v>6</v>
      </c>
      <c r="AA1188">
        <f t="shared" si="132"/>
        <v>2025</v>
      </c>
    </row>
    <row r="1189" spans="1:27" x14ac:dyDescent="0.3">
      <c r="A1189" s="2">
        <v>45290</v>
      </c>
      <c r="B1189" t="s">
        <v>29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2353</v>
      </c>
      <c r="O1189" t="s">
        <v>2354</v>
      </c>
      <c r="P1189">
        <v>41.56</v>
      </c>
      <c r="Q1189" s="2">
        <v>45290</v>
      </c>
      <c r="R1189" s="2">
        <v>45294</v>
      </c>
      <c r="S1189" t="s">
        <v>38</v>
      </c>
      <c r="T1189">
        <f t="shared" si="126"/>
        <v>1841.1855</v>
      </c>
      <c r="U1189">
        <f t="shared" si="127"/>
        <v>5</v>
      </c>
      <c r="V1189">
        <f t="shared" si="128"/>
        <v>1893.2900000000002</v>
      </c>
      <c r="W1189">
        <f t="shared" si="129"/>
        <v>94.664500000000089</v>
      </c>
      <c r="X1189">
        <f t="shared" si="130"/>
        <v>4</v>
      </c>
      <c r="Y1189" cm="1">
        <f t="array" ref="Y1189">_xlfn.IFS(H1189=0.1,1,H1189=0.15,1,H1189=0.05,1,H1189=0,0)</f>
        <v>1</v>
      </c>
      <c r="Z1189">
        <f t="shared" si="131"/>
        <v>7</v>
      </c>
      <c r="AA1189">
        <f t="shared" si="132"/>
        <v>2023</v>
      </c>
    </row>
    <row r="1190" spans="1:27" x14ac:dyDescent="0.3">
      <c r="A1190" s="2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68</v>
      </c>
      <c r="J1190">
        <v>684.93100000000004</v>
      </c>
      <c r="K1190" t="s">
        <v>58</v>
      </c>
      <c r="L1190" t="s">
        <v>25</v>
      </c>
      <c r="M1190">
        <v>1</v>
      </c>
      <c r="N1190" t="s">
        <v>2355</v>
      </c>
      <c r="O1190" t="s">
        <v>2356</v>
      </c>
      <c r="P1190">
        <v>18.010000000000002</v>
      </c>
      <c r="Q1190" s="2">
        <v>45571</v>
      </c>
      <c r="R1190" s="2">
        <v>45574</v>
      </c>
      <c r="S1190" t="s">
        <v>38</v>
      </c>
      <c r="T1190">
        <f t="shared" si="126"/>
        <v>703.94100000000003</v>
      </c>
      <c r="U1190">
        <f t="shared" si="127"/>
        <v>5</v>
      </c>
      <c r="V1190">
        <f t="shared" si="128"/>
        <v>720.98</v>
      </c>
      <c r="W1190">
        <f t="shared" si="129"/>
        <v>36.048999999999978</v>
      </c>
      <c r="X1190">
        <f t="shared" si="130"/>
        <v>3</v>
      </c>
      <c r="Y1190" cm="1">
        <f t="array" ref="Y1190">_xlfn.IFS(H1190=0.1,1,H1190=0.15,1,H1190=0.05,1,H1190=0,0)</f>
        <v>1</v>
      </c>
      <c r="Z1190">
        <f t="shared" si="131"/>
        <v>13</v>
      </c>
      <c r="AA1190">
        <f t="shared" si="132"/>
        <v>2024</v>
      </c>
    </row>
    <row r="1191" spans="1:27" x14ac:dyDescent="0.3">
      <c r="A1191" s="2">
        <v>44997</v>
      </c>
      <c r="B1191" t="s">
        <v>45</v>
      </c>
      <c r="C1191" t="s">
        <v>81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68</v>
      </c>
      <c r="J1191">
        <v>7443.4840000000004</v>
      </c>
      <c r="K1191" t="s">
        <v>58</v>
      </c>
      <c r="L1191" t="s">
        <v>35</v>
      </c>
      <c r="M1191">
        <v>1</v>
      </c>
      <c r="N1191" t="s">
        <v>2357</v>
      </c>
      <c r="O1191" t="s">
        <v>232</v>
      </c>
      <c r="P1191">
        <v>32.74</v>
      </c>
      <c r="Q1191" s="2">
        <v>44997</v>
      </c>
      <c r="R1191" s="2">
        <v>45007</v>
      </c>
      <c r="S1191" t="s">
        <v>50</v>
      </c>
      <c r="T1191">
        <f t="shared" si="126"/>
        <v>7477.2240000000002</v>
      </c>
      <c r="U1191">
        <f t="shared" si="127"/>
        <v>15</v>
      </c>
      <c r="V1191">
        <f t="shared" si="128"/>
        <v>8757.0400000000009</v>
      </c>
      <c r="W1191">
        <f t="shared" si="129"/>
        <v>1313.5560000000005</v>
      </c>
      <c r="X1191">
        <f t="shared" si="130"/>
        <v>10</v>
      </c>
      <c r="Y1191" cm="1">
        <f t="array" ref="Y1191">_xlfn.IFS(H1191=0.1,1,H1191=0.15,1,H1191=0.05,1,H1191=0,0)</f>
        <v>1</v>
      </c>
      <c r="Z1191">
        <f t="shared" si="131"/>
        <v>17</v>
      </c>
      <c r="AA1191">
        <f t="shared" si="132"/>
        <v>2023</v>
      </c>
    </row>
    <row r="1192" spans="1:27" x14ac:dyDescent="0.3">
      <c r="A1192" s="2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2358</v>
      </c>
      <c r="O1192" t="s">
        <v>2359</v>
      </c>
      <c r="P1192">
        <v>12.97</v>
      </c>
      <c r="Q1192" s="2">
        <v>45388</v>
      </c>
      <c r="R1192" s="2">
        <v>45390</v>
      </c>
      <c r="S1192" t="s">
        <v>44</v>
      </c>
      <c r="T1192">
        <f t="shared" si="126"/>
        <v>269.60000000000002</v>
      </c>
      <c r="U1192">
        <f t="shared" si="127"/>
        <v>0</v>
      </c>
      <c r="V1192">
        <f t="shared" si="128"/>
        <v>256.63</v>
      </c>
      <c r="W1192">
        <f t="shared" si="129"/>
        <v>0</v>
      </c>
      <c r="X1192">
        <f t="shared" si="130"/>
        <v>2</v>
      </c>
      <c r="Y1192" cm="1">
        <f t="array" ref="Y1192">_xlfn.IFS(H1192=0.1,1,H1192=0.15,1,H1192=0.05,1,H1192=0,0)</f>
        <v>0</v>
      </c>
      <c r="Z1192">
        <f t="shared" si="131"/>
        <v>0</v>
      </c>
      <c r="AA1192">
        <f t="shared" si="132"/>
        <v>2024</v>
      </c>
    </row>
    <row r="1193" spans="1:27" x14ac:dyDescent="0.3">
      <c r="A1193" s="2">
        <v>44946</v>
      </c>
      <c r="B1193" t="s">
        <v>39</v>
      </c>
      <c r="C1193" t="s">
        <v>81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2360</v>
      </c>
      <c r="O1193" t="s">
        <v>2361</v>
      </c>
      <c r="P1193">
        <v>20.05</v>
      </c>
      <c r="Q1193" s="2">
        <v>44946</v>
      </c>
      <c r="R1193" s="2">
        <v>44951</v>
      </c>
      <c r="S1193" t="s">
        <v>44</v>
      </c>
      <c r="T1193">
        <f t="shared" si="126"/>
        <v>1631.212</v>
      </c>
      <c r="U1193">
        <f t="shared" si="127"/>
        <v>5</v>
      </c>
      <c r="V1193">
        <f t="shared" si="128"/>
        <v>1695.96</v>
      </c>
      <c r="W1193">
        <f t="shared" si="129"/>
        <v>84.798000000000002</v>
      </c>
      <c r="X1193">
        <f t="shared" si="130"/>
        <v>5</v>
      </c>
      <c r="Y1193" cm="1">
        <f t="array" ref="Y1193">_xlfn.IFS(H1193=0.1,1,H1193=0.15,1,H1193=0.05,1,H1193=0,0)</f>
        <v>1</v>
      </c>
      <c r="Z1193">
        <f t="shared" si="131"/>
        <v>4</v>
      </c>
      <c r="AA1193">
        <f t="shared" si="132"/>
        <v>2023</v>
      </c>
    </row>
    <row r="1194" spans="1:27" x14ac:dyDescent="0.3">
      <c r="A1194" s="2">
        <v>45481</v>
      </c>
      <c r="B1194" t="s">
        <v>71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L1194" t="s">
        <v>59</v>
      </c>
      <c r="M1194">
        <v>0</v>
      </c>
      <c r="N1194" t="s">
        <v>2362</v>
      </c>
      <c r="O1194" t="s">
        <v>2363</v>
      </c>
      <c r="P1194">
        <v>20.87</v>
      </c>
      <c r="Q1194" s="2">
        <v>45481</v>
      </c>
      <c r="R1194" s="2">
        <v>45485</v>
      </c>
      <c r="S1194" t="s">
        <v>74</v>
      </c>
      <c r="T1194">
        <f t="shared" si="126"/>
        <v>1130.8024999999998</v>
      </c>
      <c r="U1194">
        <f t="shared" si="127"/>
        <v>5</v>
      </c>
      <c r="V1194">
        <f t="shared" si="128"/>
        <v>1168.3499999999999</v>
      </c>
      <c r="W1194">
        <f t="shared" si="129"/>
        <v>58.417500000000018</v>
      </c>
      <c r="X1194">
        <f t="shared" si="130"/>
        <v>4</v>
      </c>
      <c r="Y1194" cm="1">
        <f t="array" ref="Y1194">_xlfn.IFS(H1194=0.1,1,H1194=0.15,1,H1194=0.05,1,H1194=0,0)</f>
        <v>1</v>
      </c>
      <c r="Z1194">
        <f t="shared" si="131"/>
        <v>15</v>
      </c>
      <c r="AA1194">
        <f t="shared" si="132"/>
        <v>2024</v>
      </c>
    </row>
    <row r="1195" spans="1:27" x14ac:dyDescent="0.3">
      <c r="A1195" s="2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L1195" t="s">
        <v>59</v>
      </c>
      <c r="M1195">
        <v>0</v>
      </c>
      <c r="N1195" t="s">
        <v>2364</v>
      </c>
      <c r="O1195" t="s">
        <v>2365</v>
      </c>
      <c r="P1195">
        <v>26.66</v>
      </c>
      <c r="Q1195" s="2">
        <v>45205</v>
      </c>
      <c r="R1195" s="2">
        <v>45215</v>
      </c>
      <c r="S1195" t="s">
        <v>44</v>
      </c>
      <c r="T1195">
        <f t="shared" si="126"/>
        <v>162.88999999999999</v>
      </c>
      <c r="U1195">
        <f t="shared" si="127"/>
        <v>5</v>
      </c>
      <c r="V1195">
        <f t="shared" si="128"/>
        <v>143.39999999999998</v>
      </c>
      <c r="W1195">
        <f t="shared" si="129"/>
        <v>7.1699999999999875</v>
      </c>
      <c r="X1195">
        <f t="shared" si="130"/>
        <v>10</v>
      </c>
      <c r="Y1195" cm="1">
        <f t="array" ref="Y1195">_xlfn.IFS(H1195=0.1,1,H1195=0.15,1,H1195=0.05,1,H1195=0,0)</f>
        <v>1</v>
      </c>
      <c r="Z1195">
        <f t="shared" si="131"/>
        <v>12</v>
      </c>
      <c r="AA1195">
        <f t="shared" si="132"/>
        <v>2023</v>
      </c>
    </row>
    <row r="1196" spans="1:27" x14ac:dyDescent="0.3">
      <c r="A1196" s="2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65</v>
      </c>
      <c r="L1196" t="s">
        <v>25</v>
      </c>
      <c r="M1196">
        <v>0</v>
      </c>
      <c r="N1196" t="s">
        <v>2366</v>
      </c>
      <c r="O1196" t="s">
        <v>272</v>
      </c>
      <c r="P1196">
        <v>36.67</v>
      </c>
      <c r="Q1196" s="2">
        <v>45180</v>
      </c>
      <c r="R1196" s="2">
        <v>45187</v>
      </c>
      <c r="S1196" t="s">
        <v>28</v>
      </c>
      <c r="T1196">
        <f t="shared" si="126"/>
        <v>459.08500000000004</v>
      </c>
      <c r="U1196">
        <f t="shared" si="127"/>
        <v>10</v>
      </c>
      <c r="V1196">
        <f t="shared" si="128"/>
        <v>469.34999999999997</v>
      </c>
      <c r="W1196">
        <f t="shared" si="129"/>
        <v>46.934999999999945</v>
      </c>
      <c r="X1196">
        <f t="shared" si="130"/>
        <v>7</v>
      </c>
      <c r="Y1196" cm="1">
        <f t="array" ref="Y1196">_xlfn.IFS(H1196=0.1,1,H1196=0.15,1,H1196=0.05,1,H1196=0,0)</f>
        <v>1</v>
      </c>
      <c r="Z1196">
        <f t="shared" si="131"/>
        <v>7</v>
      </c>
      <c r="AA1196">
        <f t="shared" si="132"/>
        <v>2023</v>
      </c>
    </row>
    <row r="1197" spans="1:27" x14ac:dyDescent="0.3">
      <c r="A1197" s="2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65</v>
      </c>
      <c r="L1197" t="s">
        <v>35</v>
      </c>
      <c r="M1197">
        <v>0</v>
      </c>
      <c r="N1197" t="s">
        <v>2367</v>
      </c>
      <c r="O1197" t="s">
        <v>2368</v>
      </c>
      <c r="P1197">
        <v>12.95</v>
      </c>
      <c r="Q1197" s="2">
        <v>45183</v>
      </c>
      <c r="R1197" s="2">
        <v>45188</v>
      </c>
      <c r="S1197" t="s">
        <v>44</v>
      </c>
      <c r="T1197">
        <f t="shared" si="126"/>
        <v>1921.0725</v>
      </c>
      <c r="U1197">
        <f t="shared" si="127"/>
        <v>15</v>
      </c>
      <c r="V1197">
        <f t="shared" si="128"/>
        <v>2244.85</v>
      </c>
      <c r="W1197">
        <f t="shared" si="129"/>
        <v>336.72749999999996</v>
      </c>
      <c r="X1197">
        <f t="shared" si="130"/>
        <v>5</v>
      </c>
      <c r="Y1197" cm="1">
        <f t="array" ref="Y1197">_xlfn.IFS(H1197=0.1,1,H1197=0.15,1,H1197=0.05,1,H1197=0,0)</f>
        <v>1</v>
      </c>
      <c r="Z1197">
        <f t="shared" si="131"/>
        <v>19</v>
      </c>
      <c r="AA1197">
        <f t="shared" si="132"/>
        <v>2023</v>
      </c>
    </row>
    <row r="1198" spans="1:27" x14ac:dyDescent="0.3">
      <c r="A1198" s="2">
        <v>45236</v>
      </c>
      <c r="B1198" t="s">
        <v>39</v>
      </c>
      <c r="C1198" t="s">
        <v>132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L1198" t="s">
        <v>59</v>
      </c>
      <c r="M1198">
        <v>0</v>
      </c>
      <c r="N1198" t="s">
        <v>2369</v>
      </c>
      <c r="O1198" t="s">
        <v>478</v>
      </c>
      <c r="P1198">
        <v>43.85</v>
      </c>
      <c r="Q1198" s="2">
        <v>45236</v>
      </c>
      <c r="R1198" s="2">
        <v>45241</v>
      </c>
      <c r="S1198" t="s">
        <v>44</v>
      </c>
      <c r="T1198">
        <f t="shared" si="126"/>
        <v>1600.6419999999998</v>
      </c>
      <c r="U1198">
        <f t="shared" si="127"/>
        <v>15</v>
      </c>
      <c r="V1198">
        <f t="shared" si="128"/>
        <v>1831.52</v>
      </c>
      <c r="W1198">
        <f t="shared" si="129"/>
        <v>274.72800000000007</v>
      </c>
      <c r="X1198">
        <f t="shared" si="130"/>
        <v>5</v>
      </c>
      <c r="Y1198" cm="1">
        <f t="array" ref="Y1198">_xlfn.IFS(H1198=0.1,1,H1198=0.15,1,H1198=0.05,1,H1198=0,0)</f>
        <v>1</v>
      </c>
      <c r="Z1198">
        <f t="shared" si="131"/>
        <v>16</v>
      </c>
      <c r="AA1198">
        <f t="shared" si="132"/>
        <v>2023</v>
      </c>
    </row>
    <row r="1199" spans="1:27" x14ac:dyDescent="0.3">
      <c r="A1199" s="2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68</v>
      </c>
      <c r="J1199">
        <v>277.00650000000002</v>
      </c>
      <c r="K1199" t="s">
        <v>58</v>
      </c>
      <c r="L1199" t="s">
        <v>25</v>
      </c>
      <c r="M1199">
        <v>0</v>
      </c>
      <c r="N1199" t="s">
        <v>2370</v>
      </c>
      <c r="O1199" t="s">
        <v>2371</v>
      </c>
      <c r="P1199">
        <v>6.71</v>
      </c>
      <c r="Q1199" s="2">
        <v>45466</v>
      </c>
      <c r="R1199" s="2">
        <v>45473</v>
      </c>
      <c r="S1199" t="s">
        <v>44</v>
      </c>
      <c r="T1199">
        <f t="shared" si="126"/>
        <v>283.7165</v>
      </c>
      <c r="U1199">
        <f t="shared" si="127"/>
        <v>15</v>
      </c>
      <c r="V1199">
        <f t="shared" si="128"/>
        <v>325.89</v>
      </c>
      <c r="W1199">
        <f t="shared" si="129"/>
        <v>48.88349999999997</v>
      </c>
      <c r="X1199">
        <f t="shared" si="130"/>
        <v>7</v>
      </c>
      <c r="Y1199" cm="1">
        <f t="array" ref="Y1199">_xlfn.IFS(H1199=0.1,1,H1199=0.15,1,H1199=0.05,1,H1199=0,0)</f>
        <v>1</v>
      </c>
      <c r="Z1199">
        <f t="shared" si="131"/>
        <v>9</v>
      </c>
      <c r="AA1199">
        <f t="shared" si="132"/>
        <v>2024</v>
      </c>
    </row>
    <row r="1200" spans="1:27" x14ac:dyDescent="0.3">
      <c r="A1200" s="2">
        <v>45015</v>
      </c>
      <c r="B1200" t="s">
        <v>71</v>
      </c>
      <c r="C1200" t="s">
        <v>132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65</v>
      </c>
      <c r="L1200" t="s">
        <v>41</v>
      </c>
      <c r="M1200">
        <v>0</v>
      </c>
      <c r="N1200" t="s">
        <v>2372</v>
      </c>
      <c r="O1200" t="s">
        <v>2373</v>
      </c>
      <c r="P1200">
        <v>14.01</v>
      </c>
      <c r="Q1200" s="2">
        <v>45015</v>
      </c>
      <c r="R1200" s="2">
        <v>45025</v>
      </c>
      <c r="S1200" t="s">
        <v>74</v>
      </c>
      <c r="T1200">
        <f t="shared" si="126"/>
        <v>487.23</v>
      </c>
      <c r="U1200">
        <f t="shared" si="127"/>
        <v>10</v>
      </c>
      <c r="V1200">
        <f t="shared" si="128"/>
        <v>525.79999999999995</v>
      </c>
      <c r="W1200">
        <f t="shared" si="129"/>
        <v>52.579999999999927</v>
      </c>
      <c r="X1200">
        <f t="shared" si="130"/>
        <v>10</v>
      </c>
      <c r="Y1200" cm="1">
        <f t="array" ref="Y1200">_xlfn.IFS(H1200=0.1,1,H1200=0.15,1,H1200=0.05,1,H1200=0,0)</f>
        <v>1</v>
      </c>
      <c r="Z1200">
        <f t="shared" si="131"/>
        <v>10</v>
      </c>
      <c r="AA1200">
        <f t="shared" si="132"/>
        <v>2023</v>
      </c>
    </row>
    <row r="1201" spans="1:27" x14ac:dyDescent="0.3">
      <c r="A1201" s="2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62</v>
      </c>
      <c r="L1201" t="s">
        <v>35</v>
      </c>
      <c r="M1201">
        <v>0</v>
      </c>
      <c r="N1201" t="s">
        <v>2374</v>
      </c>
      <c r="O1201" t="s">
        <v>2375</v>
      </c>
      <c r="P1201">
        <v>43.67</v>
      </c>
      <c r="Q1201" s="2">
        <v>45570</v>
      </c>
      <c r="R1201" s="2">
        <v>45580</v>
      </c>
      <c r="S1201" t="s">
        <v>28</v>
      </c>
      <c r="T1201">
        <f t="shared" si="126"/>
        <v>1513.874</v>
      </c>
      <c r="U1201">
        <f t="shared" si="127"/>
        <v>10</v>
      </c>
      <c r="V1201">
        <f t="shared" si="128"/>
        <v>1633.56</v>
      </c>
      <c r="W1201">
        <f t="shared" si="129"/>
        <v>163.35599999999999</v>
      </c>
      <c r="X1201">
        <f t="shared" si="130"/>
        <v>10</v>
      </c>
      <c r="Y1201" cm="1">
        <f t="array" ref="Y1201">_xlfn.IFS(H1201=0.1,1,H1201=0.15,1,H1201=0.05,1,H1201=0,0)</f>
        <v>1</v>
      </c>
      <c r="Z1201">
        <f t="shared" si="131"/>
        <v>6</v>
      </c>
      <c r="AA1201">
        <f t="shared" si="132"/>
        <v>2024</v>
      </c>
    </row>
    <row r="1202" spans="1:27" x14ac:dyDescent="0.3">
      <c r="A1202" s="2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2376</v>
      </c>
      <c r="O1202" t="s">
        <v>2377</v>
      </c>
      <c r="P1202">
        <v>40.229999999999997</v>
      </c>
      <c r="Q1202" s="2">
        <v>45004</v>
      </c>
      <c r="R1202" s="2">
        <v>45014</v>
      </c>
      <c r="S1202" t="s">
        <v>50</v>
      </c>
      <c r="T1202">
        <f t="shared" si="126"/>
        <v>1103.4749999999999</v>
      </c>
      <c r="U1202">
        <f t="shared" si="127"/>
        <v>15</v>
      </c>
      <c r="V1202">
        <f t="shared" si="128"/>
        <v>1249.7</v>
      </c>
      <c r="W1202">
        <f t="shared" si="129"/>
        <v>187.45500000000015</v>
      </c>
      <c r="X1202">
        <f t="shared" si="130"/>
        <v>10</v>
      </c>
      <c r="Y1202" cm="1">
        <f t="array" ref="Y1202">_xlfn.IFS(H1202=0.1,1,H1202=0.15,1,H1202=0.05,1,H1202=0,0)</f>
        <v>1</v>
      </c>
      <c r="Z1202">
        <f t="shared" si="131"/>
        <v>10</v>
      </c>
      <c r="AA1202">
        <f t="shared" si="132"/>
        <v>2023</v>
      </c>
    </row>
    <row r="1203" spans="1:27" x14ac:dyDescent="0.3">
      <c r="A1203" s="2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2378</v>
      </c>
      <c r="O1203" t="s">
        <v>2379</v>
      </c>
      <c r="P1203">
        <v>31.43</v>
      </c>
      <c r="Q1203" s="2">
        <v>45733</v>
      </c>
      <c r="R1203" s="2">
        <v>45737</v>
      </c>
      <c r="S1203" t="s">
        <v>44</v>
      </c>
      <c r="T1203">
        <f t="shared" si="126"/>
        <v>1986.1310000000001</v>
      </c>
      <c r="U1203">
        <f t="shared" si="127"/>
        <v>5</v>
      </c>
      <c r="V1203">
        <f t="shared" si="128"/>
        <v>2057.58</v>
      </c>
      <c r="W1203">
        <f t="shared" si="129"/>
        <v>102.87899999999991</v>
      </c>
      <c r="X1203">
        <f t="shared" si="130"/>
        <v>4</v>
      </c>
      <c r="Y1203" cm="1">
        <f t="array" ref="Y1203">_xlfn.IFS(H1203=0.1,1,H1203=0.15,1,H1203=0.05,1,H1203=0,0)</f>
        <v>1</v>
      </c>
      <c r="Z1203">
        <f t="shared" si="131"/>
        <v>9</v>
      </c>
      <c r="AA1203">
        <f t="shared" si="132"/>
        <v>2025</v>
      </c>
    </row>
    <row r="1204" spans="1:27" x14ac:dyDescent="0.3">
      <c r="A1204" s="2">
        <v>45644</v>
      </c>
      <c r="B1204" t="s">
        <v>45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62</v>
      </c>
      <c r="L1204" t="s">
        <v>25</v>
      </c>
      <c r="M1204">
        <v>0</v>
      </c>
      <c r="N1204" t="s">
        <v>2380</v>
      </c>
      <c r="O1204" t="s">
        <v>2381</v>
      </c>
      <c r="P1204">
        <v>8.19</v>
      </c>
      <c r="Q1204" s="2">
        <v>45644</v>
      </c>
      <c r="R1204" s="2">
        <v>45654</v>
      </c>
      <c r="S1204" t="s">
        <v>50</v>
      </c>
      <c r="T1204">
        <f t="shared" si="126"/>
        <v>4817.66</v>
      </c>
      <c r="U1204">
        <f t="shared" si="127"/>
        <v>15</v>
      </c>
      <c r="V1204">
        <f t="shared" si="128"/>
        <v>5658.2000000000007</v>
      </c>
      <c r="W1204">
        <f t="shared" si="129"/>
        <v>848.73000000000047</v>
      </c>
      <c r="X1204">
        <f t="shared" si="130"/>
        <v>10</v>
      </c>
      <c r="Y1204" cm="1">
        <f t="array" ref="Y1204">_xlfn.IFS(H1204=0.1,1,H1204=0.15,1,H1204=0.05,1,H1204=0,0)</f>
        <v>1</v>
      </c>
      <c r="Z1204">
        <f t="shared" si="131"/>
        <v>20</v>
      </c>
      <c r="AA1204">
        <f t="shared" si="132"/>
        <v>2024</v>
      </c>
    </row>
    <row r="1205" spans="1:27" x14ac:dyDescent="0.3">
      <c r="A1205" s="2">
        <v>45663</v>
      </c>
      <c r="B1205" t="s">
        <v>71</v>
      </c>
      <c r="C1205" t="s">
        <v>81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2382</v>
      </c>
      <c r="O1205" t="s">
        <v>2383</v>
      </c>
      <c r="P1205">
        <v>24.28</v>
      </c>
      <c r="Q1205" s="2">
        <v>45663</v>
      </c>
      <c r="R1205" s="2">
        <v>45665</v>
      </c>
      <c r="S1205" t="s">
        <v>74</v>
      </c>
      <c r="T1205">
        <f t="shared" si="126"/>
        <v>1897.289</v>
      </c>
      <c r="U1205">
        <f t="shared" si="127"/>
        <v>15</v>
      </c>
      <c r="V1205">
        <f t="shared" si="128"/>
        <v>2203.54</v>
      </c>
      <c r="W1205">
        <f t="shared" si="129"/>
        <v>330.53099999999995</v>
      </c>
      <c r="X1205">
        <f t="shared" si="130"/>
        <v>2</v>
      </c>
      <c r="Y1205" cm="1">
        <f t="array" ref="Y1205">_xlfn.IFS(H1205=0.1,1,H1205=0.15,1,H1205=0.05,1,H1205=0,0)</f>
        <v>1</v>
      </c>
      <c r="Z1205">
        <f t="shared" si="131"/>
        <v>17</v>
      </c>
      <c r="AA1205">
        <f t="shared" si="132"/>
        <v>2025</v>
      </c>
    </row>
    <row r="1206" spans="1:27" x14ac:dyDescent="0.3">
      <c r="A1206" s="2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925.39499999999987</v>
      </c>
      <c r="K1206" t="s">
        <v>58</v>
      </c>
      <c r="L1206" t="s">
        <v>35</v>
      </c>
      <c r="M1206">
        <v>1</v>
      </c>
      <c r="N1206" t="s">
        <v>2384</v>
      </c>
      <c r="O1206" t="s">
        <v>2385</v>
      </c>
      <c r="P1206">
        <v>19.18</v>
      </c>
      <c r="Q1206" s="2">
        <v>45671</v>
      </c>
      <c r="R1206" s="2">
        <v>45677</v>
      </c>
      <c r="S1206" t="s">
        <v>50</v>
      </c>
      <c r="T1206">
        <f t="shared" si="126"/>
        <v>945.57499999999982</v>
      </c>
      <c r="U1206">
        <f t="shared" si="127"/>
        <v>5</v>
      </c>
      <c r="V1206">
        <f t="shared" si="128"/>
        <v>974.09999999999991</v>
      </c>
      <c r="W1206">
        <f t="shared" si="129"/>
        <v>48.705000000000041</v>
      </c>
      <c r="X1206">
        <f t="shared" si="130"/>
        <v>6</v>
      </c>
      <c r="Y1206" cm="1">
        <f t="array" ref="Y1206">_xlfn.IFS(H1206=0.1,1,H1206=0.15,1,H1206=0.05,1,H1206=0,0)</f>
        <v>1</v>
      </c>
      <c r="Z1206">
        <f t="shared" si="131"/>
        <v>6</v>
      </c>
      <c r="AA1206">
        <f t="shared" si="132"/>
        <v>2025</v>
      </c>
    </row>
    <row r="1207" spans="1:27" x14ac:dyDescent="0.3">
      <c r="A1207" s="2">
        <v>44952</v>
      </c>
      <c r="B1207" t="s">
        <v>29</v>
      </c>
      <c r="C1207" t="s">
        <v>132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65</v>
      </c>
      <c r="L1207" t="s">
        <v>35</v>
      </c>
      <c r="M1207">
        <v>0</v>
      </c>
      <c r="N1207" t="s">
        <v>2386</v>
      </c>
      <c r="O1207" t="s">
        <v>2387</v>
      </c>
      <c r="P1207">
        <v>36.11</v>
      </c>
      <c r="Q1207" s="2">
        <v>44952</v>
      </c>
      <c r="R1207" s="2">
        <v>44956</v>
      </c>
      <c r="S1207" t="s">
        <v>38</v>
      </c>
      <c r="T1207">
        <f t="shared" si="126"/>
        <v>2973.59</v>
      </c>
      <c r="U1207">
        <f t="shared" si="127"/>
        <v>0</v>
      </c>
      <c r="V1207">
        <f t="shared" si="128"/>
        <v>2937.48</v>
      </c>
      <c r="W1207">
        <f t="shared" si="129"/>
        <v>0</v>
      </c>
      <c r="X1207">
        <f t="shared" si="130"/>
        <v>4</v>
      </c>
      <c r="Y1207" cm="1">
        <f t="array" ref="Y1207">_xlfn.IFS(H1207=0.1,1,H1207=0.15,1,H1207=0.05,1,H1207=0,0)</f>
        <v>0</v>
      </c>
      <c r="Z1207">
        <f t="shared" si="131"/>
        <v>0</v>
      </c>
      <c r="AA1207">
        <f t="shared" si="132"/>
        <v>2023</v>
      </c>
    </row>
    <row r="1208" spans="1:27" x14ac:dyDescent="0.3">
      <c r="A1208" s="2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2388</v>
      </c>
      <c r="O1208" t="s">
        <v>2389</v>
      </c>
      <c r="P1208">
        <v>42.56</v>
      </c>
      <c r="Q1208" s="2">
        <v>45508</v>
      </c>
      <c r="R1208" s="2">
        <v>45518</v>
      </c>
      <c r="S1208" t="s">
        <v>44</v>
      </c>
      <c r="T1208">
        <f t="shared" si="126"/>
        <v>4502.848</v>
      </c>
      <c r="U1208">
        <f t="shared" si="127"/>
        <v>5</v>
      </c>
      <c r="V1208">
        <f t="shared" si="128"/>
        <v>4695.04</v>
      </c>
      <c r="W1208">
        <f t="shared" si="129"/>
        <v>234.75200000000041</v>
      </c>
      <c r="X1208">
        <f t="shared" si="130"/>
        <v>10</v>
      </c>
      <c r="Y1208" cm="1">
        <f t="array" ref="Y1208">_xlfn.IFS(H1208=0.1,1,H1208=0.15,1,H1208=0.05,1,H1208=0,0)</f>
        <v>1</v>
      </c>
      <c r="Z1208">
        <f t="shared" si="131"/>
        <v>16</v>
      </c>
      <c r="AA1208">
        <f t="shared" si="132"/>
        <v>2024</v>
      </c>
    </row>
    <row r="1209" spans="1:27" x14ac:dyDescent="0.3">
      <c r="A1209" s="2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2390</v>
      </c>
      <c r="O1209" t="s">
        <v>2391</v>
      </c>
      <c r="P1209">
        <v>38.53</v>
      </c>
      <c r="Q1209" s="2">
        <v>45335</v>
      </c>
      <c r="R1209" s="2">
        <v>45338</v>
      </c>
      <c r="S1209" t="s">
        <v>44</v>
      </c>
      <c r="T1209">
        <f t="shared" si="126"/>
        <v>1773.1420000000001</v>
      </c>
      <c r="U1209">
        <f t="shared" si="127"/>
        <v>15</v>
      </c>
      <c r="V1209">
        <f t="shared" si="128"/>
        <v>2040.72</v>
      </c>
      <c r="W1209">
        <f t="shared" si="129"/>
        <v>306.10799999999995</v>
      </c>
      <c r="X1209">
        <f t="shared" si="130"/>
        <v>3</v>
      </c>
      <c r="Y1209" cm="1">
        <f t="array" ref="Y1209">_xlfn.IFS(H1209=0.1,1,H1209=0.15,1,H1209=0.05,1,H1209=0,0)</f>
        <v>1</v>
      </c>
      <c r="Z1209">
        <f t="shared" si="131"/>
        <v>11</v>
      </c>
      <c r="AA1209">
        <f t="shared" si="132"/>
        <v>2024</v>
      </c>
    </row>
    <row r="1210" spans="1:27" x14ac:dyDescent="0.3">
      <c r="A1210" s="2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65</v>
      </c>
      <c r="L1210" t="s">
        <v>25</v>
      </c>
      <c r="M1210">
        <v>0</v>
      </c>
      <c r="N1210" t="s">
        <v>2392</v>
      </c>
      <c r="O1210" t="s">
        <v>2393</v>
      </c>
      <c r="P1210">
        <v>48.38</v>
      </c>
      <c r="Q1210" s="2">
        <v>44968</v>
      </c>
      <c r="R1210" s="2">
        <v>44971</v>
      </c>
      <c r="S1210" t="s">
        <v>50</v>
      </c>
      <c r="T1210">
        <f t="shared" si="126"/>
        <v>4154.5940000000001</v>
      </c>
      <c r="U1210">
        <f t="shared" si="127"/>
        <v>15</v>
      </c>
      <c r="V1210">
        <f t="shared" si="128"/>
        <v>4830.84</v>
      </c>
      <c r="W1210">
        <f t="shared" si="129"/>
        <v>724.6260000000002</v>
      </c>
      <c r="X1210">
        <f t="shared" si="130"/>
        <v>3</v>
      </c>
      <c r="Y1210" cm="1">
        <f t="array" ref="Y1210">_xlfn.IFS(H1210=0.1,1,H1210=0.15,1,H1210=0.05,1,H1210=0,0)</f>
        <v>1</v>
      </c>
      <c r="Z1210">
        <f t="shared" si="131"/>
        <v>18</v>
      </c>
      <c r="AA1210">
        <f t="shared" si="132"/>
        <v>2023</v>
      </c>
    </row>
    <row r="1211" spans="1:27" x14ac:dyDescent="0.3">
      <c r="A1211" s="2">
        <v>45460</v>
      </c>
      <c r="B1211" t="s">
        <v>19</v>
      </c>
      <c r="C1211" t="s">
        <v>132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65</v>
      </c>
      <c r="L1211" t="s">
        <v>25</v>
      </c>
      <c r="M1211">
        <v>0</v>
      </c>
      <c r="N1211" t="s">
        <v>2394</v>
      </c>
      <c r="O1211" t="s">
        <v>2395</v>
      </c>
      <c r="P1211">
        <v>10.99</v>
      </c>
      <c r="Q1211" s="2">
        <v>45460</v>
      </c>
      <c r="R1211" s="2">
        <v>45465</v>
      </c>
      <c r="S1211" t="s">
        <v>28</v>
      </c>
      <c r="T1211">
        <f t="shared" si="126"/>
        <v>8873.1999999999989</v>
      </c>
      <c r="U1211">
        <f t="shared" si="127"/>
        <v>10</v>
      </c>
      <c r="V1211">
        <f t="shared" si="128"/>
        <v>9846.9</v>
      </c>
      <c r="W1211">
        <f t="shared" si="129"/>
        <v>984.69000000000051</v>
      </c>
      <c r="X1211">
        <f t="shared" si="130"/>
        <v>5</v>
      </c>
      <c r="Y1211" cm="1">
        <f t="array" ref="Y1211">_xlfn.IFS(H1211=0.1,1,H1211=0.15,1,H1211=0.05,1,H1211=0,0)</f>
        <v>1</v>
      </c>
      <c r="Z1211">
        <f t="shared" si="131"/>
        <v>18</v>
      </c>
      <c r="AA1211">
        <f t="shared" si="132"/>
        <v>2024</v>
      </c>
    </row>
    <row r="1212" spans="1:27" x14ac:dyDescent="0.3">
      <c r="A1212" s="2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L1212" t="s">
        <v>59</v>
      </c>
      <c r="M1212">
        <v>0</v>
      </c>
      <c r="N1212" t="s">
        <v>2396</v>
      </c>
      <c r="O1212" t="s">
        <v>2397</v>
      </c>
      <c r="P1212">
        <v>26.16</v>
      </c>
      <c r="Q1212" s="2">
        <v>45449</v>
      </c>
      <c r="R1212" s="2">
        <v>45455</v>
      </c>
      <c r="S1212" t="s">
        <v>38</v>
      </c>
      <c r="T1212">
        <f t="shared" si="126"/>
        <v>327.23850000000004</v>
      </c>
      <c r="U1212">
        <f t="shared" si="127"/>
        <v>15</v>
      </c>
      <c r="V1212">
        <f t="shared" si="128"/>
        <v>354.21</v>
      </c>
      <c r="W1212">
        <f t="shared" si="129"/>
        <v>53.13149999999996</v>
      </c>
      <c r="X1212">
        <f t="shared" si="130"/>
        <v>6</v>
      </c>
      <c r="Y1212" cm="1">
        <f t="array" ref="Y1212">_xlfn.IFS(H1212=0.1,1,H1212=0.15,1,H1212=0.05,1,H1212=0,0)</f>
        <v>1</v>
      </c>
      <c r="Z1212">
        <f t="shared" si="131"/>
        <v>1</v>
      </c>
      <c r="AA1212">
        <f t="shared" si="132"/>
        <v>2024</v>
      </c>
    </row>
    <row r="1213" spans="1:27" x14ac:dyDescent="0.3">
      <c r="A1213" s="2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68</v>
      </c>
      <c r="J1213">
        <v>4290.9029999999993</v>
      </c>
      <c r="K1213" t="s">
        <v>34</v>
      </c>
      <c r="L1213" t="s">
        <v>59</v>
      </c>
      <c r="M1213">
        <v>0</v>
      </c>
      <c r="N1213" t="s">
        <v>2398</v>
      </c>
      <c r="O1213" t="s">
        <v>2399</v>
      </c>
      <c r="P1213">
        <v>47.67</v>
      </c>
      <c r="Q1213" s="2">
        <v>45256</v>
      </c>
      <c r="R1213" s="2">
        <v>45262</v>
      </c>
      <c r="S1213" t="s">
        <v>38</v>
      </c>
      <c r="T1213">
        <f t="shared" si="126"/>
        <v>4338.5729999999994</v>
      </c>
      <c r="U1213">
        <f t="shared" si="127"/>
        <v>5</v>
      </c>
      <c r="V1213">
        <f t="shared" si="128"/>
        <v>4516.74</v>
      </c>
      <c r="W1213">
        <f t="shared" si="129"/>
        <v>225.83700000000044</v>
      </c>
      <c r="X1213">
        <f t="shared" si="130"/>
        <v>6</v>
      </c>
      <c r="Y1213" cm="1">
        <f t="array" ref="Y1213">_xlfn.IFS(H1213=0.1,1,H1213=0.15,1,H1213=0.05,1,H1213=0,0)</f>
        <v>1</v>
      </c>
      <c r="Z1213">
        <f t="shared" si="131"/>
        <v>18</v>
      </c>
      <c r="AA1213">
        <f t="shared" si="132"/>
        <v>2023</v>
      </c>
    </row>
    <row r="1214" spans="1:27" x14ac:dyDescent="0.3">
      <c r="A1214" s="2">
        <v>45389</v>
      </c>
      <c r="B1214" t="s">
        <v>71</v>
      </c>
      <c r="C1214" t="s">
        <v>132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L1214" t="s">
        <v>59</v>
      </c>
      <c r="M1214">
        <v>0</v>
      </c>
      <c r="N1214" t="s">
        <v>2400</v>
      </c>
      <c r="O1214" t="s">
        <v>2401</v>
      </c>
      <c r="P1214">
        <v>42.15</v>
      </c>
      <c r="Q1214" s="2">
        <v>45389</v>
      </c>
      <c r="R1214" s="2">
        <v>45391</v>
      </c>
      <c r="S1214" t="s">
        <v>74</v>
      </c>
      <c r="T1214">
        <f t="shared" si="126"/>
        <v>9027.0749999999989</v>
      </c>
      <c r="U1214">
        <f t="shared" si="127"/>
        <v>15</v>
      </c>
      <c r="V1214">
        <f t="shared" si="128"/>
        <v>10570.5</v>
      </c>
      <c r="W1214">
        <f t="shared" si="129"/>
        <v>1585.5750000000007</v>
      </c>
      <c r="X1214">
        <f t="shared" si="130"/>
        <v>2</v>
      </c>
      <c r="Y1214" cm="1">
        <f t="array" ref="Y1214">_xlfn.IFS(H1214=0.1,1,H1214=0.15,1,H1214=0.05,1,H1214=0,0)</f>
        <v>1</v>
      </c>
      <c r="Z1214">
        <f t="shared" si="131"/>
        <v>18</v>
      </c>
      <c r="AA1214">
        <f t="shared" si="132"/>
        <v>2024</v>
      </c>
    </row>
    <row r="1215" spans="1:27" x14ac:dyDescent="0.3">
      <c r="A1215" s="2">
        <v>44960</v>
      </c>
      <c r="B1215" t="s">
        <v>71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2402</v>
      </c>
      <c r="O1215" t="s">
        <v>2403</v>
      </c>
      <c r="P1215">
        <v>12.9</v>
      </c>
      <c r="Q1215" s="2">
        <v>44960</v>
      </c>
      <c r="R1215" s="2">
        <v>44966</v>
      </c>
      <c r="S1215" t="s">
        <v>74</v>
      </c>
      <c r="T1215">
        <f t="shared" si="126"/>
        <v>890.02</v>
      </c>
      <c r="U1215">
        <f t="shared" si="127"/>
        <v>0</v>
      </c>
      <c r="V1215">
        <f t="shared" si="128"/>
        <v>876.12</v>
      </c>
      <c r="W1215">
        <f t="shared" si="129"/>
        <v>0</v>
      </c>
      <c r="X1215">
        <f t="shared" si="130"/>
        <v>6</v>
      </c>
      <c r="Y1215" cm="1">
        <f t="array" ref="Y1215">_xlfn.IFS(H1215=0.1,1,H1215=0.15,1,H1215=0.05,1,H1215=0,0)</f>
        <v>0</v>
      </c>
      <c r="Z1215">
        <f t="shared" si="131"/>
        <v>0</v>
      </c>
      <c r="AA1215">
        <f t="shared" si="132"/>
        <v>2023</v>
      </c>
    </row>
    <row r="1216" spans="1:27" x14ac:dyDescent="0.3">
      <c r="A1216" s="2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72.589999999999989</v>
      </c>
      <c r="K1216" t="s">
        <v>24</v>
      </c>
      <c r="L1216" t="s">
        <v>25</v>
      </c>
      <c r="M1216">
        <v>1</v>
      </c>
      <c r="N1216" t="s">
        <v>2404</v>
      </c>
      <c r="O1216" t="s">
        <v>2405</v>
      </c>
      <c r="P1216">
        <v>10.18</v>
      </c>
      <c r="Q1216" s="2">
        <v>45621</v>
      </c>
      <c r="R1216" s="2">
        <v>45626</v>
      </c>
      <c r="S1216" t="s">
        <v>28</v>
      </c>
      <c r="T1216">
        <f t="shared" si="126"/>
        <v>83.769999999999982</v>
      </c>
      <c r="U1216">
        <f t="shared" si="127"/>
        <v>15</v>
      </c>
      <c r="V1216">
        <f t="shared" si="128"/>
        <v>85.399999999999991</v>
      </c>
      <c r="W1216">
        <f t="shared" si="129"/>
        <v>12.810000000000002</v>
      </c>
      <c r="X1216">
        <f t="shared" si="130"/>
        <v>5</v>
      </c>
      <c r="Y1216" cm="1">
        <f t="array" ref="Y1216">_xlfn.IFS(H1216=0.1,1,H1216=0.15,1,H1216=0.05,1,H1216=0,0)</f>
        <v>1</v>
      </c>
      <c r="Z1216">
        <f t="shared" si="131"/>
        <v>14</v>
      </c>
      <c r="AA1216">
        <f t="shared" si="132"/>
        <v>2024</v>
      </c>
    </row>
    <row r="1217" spans="1:27" x14ac:dyDescent="0.3">
      <c r="A1217" s="2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2406</v>
      </c>
      <c r="O1217" t="s">
        <v>2407</v>
      </c>
      <c r="P1217">
        <v>13.41</v>
      </c>
      <c r="Q1217" s="2">
        <v>45473</v>
      </c>
      <c r="R1217" s="2">
        <v>45476</v>
      </c>
      <c r="S1217" t="s">
        <v>44</v>
      </c>
      <c r="T1217">
        <f t="shared" si="126"/>
        <v>174.69</v>
      </c>
      <c r="U1217">
        <f t="shared" si="127"/>
        <v>0</v>
      </c>
      <c r="V1217">
        <f t="shared" si="128"/>
        <v>160.28</v>
      </c>
      <c r="W1217">
        <f t="shared" si="129"/>
        <v>0</v>
      </c>
      <c r="X1217">
        <f t="shared" si="130"/>
        <v>3</v>
      </c>
      <c r="Y1217" cm="1">
        <f t="array" ref="Y1217">_xlfn.IFS(H1217=0.1,1,H1217=0.15,1,H1217=0.05,1,H1217=0,0)</f>
        <v>0</v>
      </c>
      <c r="Z1217">
        <f t="shared" si="131"/>
        <v>0</v>
      </c>
      <c r="AA1217">
        <f t="shared" si="132"/>
        <v>2024</v>
      </c>
    </row>
    <row r="1218" spans="1:27" x14ac:dyDescent="0.3">
      <c r="A1218" s="2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68</v>
      </c>
      <c r="J1218">
        <v>626.16949999999997</v>
      </c>
      <c r="K1218" t="s">
        <v>34</v>
      </c>
      <c r="L1218" t="s">
        <v>25</v>
      </c>
      <c r="M1218">
        <v>1</v>
      </c>
      <c r="N1218" t="s">
        <v>2408</v>
      </c>
      <c r="O1218" t="s">
        <v>2409</v>
      </c>
      <c r="P1218">
        <v>20.350000000000001</v>
      </c>
      <c r="Q1218" s="2">
        <v>45140</v>
      </c>
      <c r="R1218" s="2">
        <v>45149</v>
      </c>
      <c r="S1218" t="s">
        <v>38</v>
      </c>
      <c r="T1218">
        <f t="shared" si="126"/>
        <v>647.51949999999999</v>
      </c>
      <c r="U1218">
        <f t="shared" si="127"/>
        <v>15</v>
      </c>
      <c r="V1218">
        <f t="shared" si="128"/>
        <v>736.67</v>
      </c>
      <c r="W1218">
        <f t="shared" si="129"/>
        <v>110.50049999999999</v>
      </c>
      <c r="X1218">
        <f t="shared" si="130"/>
        <v>9</v>
      </c>
      <c r="Y1218" cm="1">
        <f t="array" ref="Y1218">_xlfn.IFS(H1218=0.1,1,H1218=0.15,1,H1218=0.05,1,H1218=0,0)</f>
        <v>1</v>
      </c>
      <c r="Z1218">
        <f t="shared" si="131"/>
        <v>11</v>
      </c>
      <c r="AA1218">
        <f t="shared" si="132"/>
        <v>2023</v>
      </c>
    </row>
    <row r="1219" spans="1:27" x14ac:dyDescent="0.3">
      <c r="A1219" s="2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65</v>
      </c>
      <c r="L1219" t="s">
        <v>25</v>
      </c>
      <c r="M1219">
        <v>0</v>
      </c>
      <c r="N1219" t="s">
        <v>2410</v>
      </c>
      <c r="O1219" t="s">
        <v>2411</v>
      </c>
      <c r="P1219">
        <v>27.65</v>
      </c>
      <c r="Q1219" s="2">
        <v>45344</v>
      </c>
      <c r="R1219" s="2">
        <v>45349</v>
      </c>
      <c r="S1219" t="s">
        <v>38</v>
      </c>
      <c r="T1219">
        <f t="shared" ref="T1219:T1282" si="133">SUM(J1219:P1219)</f>
        <v>1115.69</v>
      </c>
      <c r="U1219">
        <f t="shared" ref="U1219:U1282" si="134">PRODUCT(100,H1219)</f>
        <v>0</v>
      </c>
      <c r="V1219">
        <f t="shared" ref="V1219:V1282" si="135">PRODUCT(D1219:E1219)</f>
        <v>1088.04</v>
      </c>
      <c r="W1219">
        <f t="shared" ref="W1219:W1282" si="136" xml:space="preserve"> V1219-J1219</f>
        <v>0</v>
      </c>
      <c r="X1219">
        <f t="shared" ref="X1219:X1282" si="137">R1219-Q1219</f>
        <v>5</v>
      </c>
      <c r="Y1219" cm="1">
        <f t="array" ref="Y1219">_xlfn.IFS(H1219=0.1,1,H1219=0.15,1,H1219=0.05,1,H1219=0,0)</f>
        <v>0</v>
      </c>
      <c r="Z1219">
        <f t="shared" ref="Z1219:Z1282" si="138">PRODUCT(Y1219,D1219)</f>
        <v>0</v>
      </c>
      <c r="AA1219">
        <f t="shared" ref="AA1219:AA1282" si="139">YEAR(A1219)</f>
        <v>2024</v>
      </c>
    </row>
    <row r="1220" spans="1:27" x14ac:dyDescent="0.3">
      <c r="A1220" s="2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L1220" t="s">
        <v>59</v>
      </c>
      <c r="M1220">
        <v>0</v>
      </c>
      <c r="N1220" t="s">
        <v>2412</v>
      </c>
      <c r="O1220" t="s">
        <v>2413</v>
      </c>
      <c r="P1220">
        <v>7.62</v>
      </c>
      <c r="Q1220" s="2">
        <v>45625</v>
      </c>
      <c r="R1220" s="2">
        <v>45635</v>
      </c>
      <c r="S1220" t="s">
        <v>44</v>
      </c>
      <c r="T1220">
        <f t="shared" si="133"/>
        <v>8130.12</v>
      </c>
      <c r="U1220">
        <f t="shared" si="134"/>
        <v>5</v>
      </c>
      <c r="V1220">
        <f t="shared" si="135"/>
        <v>8550</v>
      </c>
      <c r="W1220">
        <f t="shared" si="136"/>
        <v>427.5</v>
      </c>
      <c r="X1220">
        <f t="shared" si="137"/>
        <v>10</v>
      </c>
      <c r="Y1220" cm="1">
        <f t="array" ref="Y1220">_xlfn.IFS(H1220=0.1,1,H1220=0.15,1,H1220=0.05,1,H1220=0,0)</f>
        <v>1</v>
      </c>
      <c r="Z1220">
        <f t="shared" si="138"/>
        <v>15</v>
      </c>
      <c r="AA1220">
        <f t="shared" si="139"/>
        <v>2024</v>
      </c>
    </row>
    <row r="1221" spans="1:27" x14ac:dyDescent="0.3">
      <c r="A1221" s="2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68</v>
      </c>
      <c r="J1221">
        <v>4496.5934999999999</v>
      </c>
      <c r="K1221" t="s">
        <v>24</v>
      </c>
      <c r="L1221" t="s">
        <v>59</v>
      </c>
      <c r="M1221">
        <v>0</v>
      </c>
      <c r="N1221" t="s">
        <v>2414</v>
      </c>
      <c r="O1221" t="s">
        <v>2415</v>
      </c>
      <c r="P1221">
        <v>24.64</v>
      </c>
      <c r="Q1221" s="2">
        <v>45128</v>
      </c>
      <c r="R1221" s="2">
        <v>45138</v>
      </c>
      <c r="S1221" t="s">
        <v>44</v>
      </c>
      <c r="T1221">
        <f t="shared" si="133"/>
        <v>4521.2335000000003</v>
      </c>
      <c r="U1221">
        <f t="shared" si="134"/>
        <v>15</v>
      </c>
      <c r="V1221">
        <f t="shared" si="135"/>
        <v>5290.11</v>
      </c>
      <c r="W1221">
        <f t="shared" si="136"/>
        <v>793.51649999999972</v>
      </c>
      <c r="X1221">
        <f t="shared" si="137"/>
        <v>10</v>
      </c>
      <c r="Y1221" cm="1">
        <f t="array" ref="Y1221">_xlfn.IFS(H1221=0.1,1,H1221=0.15,1,H1221=0.05,1,H1221=0,0)</f>
        <v>1</v>
      </c>
      <c r="Z1221">
        <f t="shared" si="138"/>
        <v>9</v>
      </c>
      <c r="AA1221">
        <f t="shared" si="139"/>
        <v>2023</v>
      </c>
    </row>
    <row r="1222" spans="1:27" x14ac:dyDescent="0.3">
      <c r="A1222" s="2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2416</v>
      </c>
      <c r="O1222" t="s">
        <v>2417</v>
      </c>
      <c r="P1222">
        <v>38.65</v>
      </c>
      <c r="Q1222" s="2">
        <v>45030</v>
      </c>
      <c r="R1222" s="2">
        <v>45033</v>
      </c>
      <c r="S1222" t="s">
        <v>50</v>
      </c>
      <c r="T1222">
        <f t="shared" si="133"/>
        <v>1098.7240000000002</v>
      </c>
      <c r="U1222">
        <f t="shared" si="134"/>
        <v>10</v>
      </c>
      <c r="V1222">
        <f t="shared" si="135"/>
        <v>1177.8600000000001</v>
      </c>
      <c r="W1222">
        <f t="shared" si="136"/>
        <v>117.78600000000006</v>
      </c>
      <c r="X1222">
        <f t="shared" si="137"/>
        <v>3</v>
      </c>
      <c r="Y1222" cm="1">
        <f t="array" ref="Y1222">_xlfn.IFS(H1222=0.1,1,H1222=0.15,1,H1222=0.05,1,H1222=0,0)</f>
        <v>1</v>
      </c>
      <c r="Z1222">
        <f t="shared" si="138"/>
        <v>6</v>
      </c>
      <c r="AA1222">
        <f t="shared" si="139"/>
        <v>2023</v>
      </c>
    </row>
    <row r="1223" spans="1:27" x14ac:dyDescent="0.3">
      <c r="A1223" s="2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68</v>
      </c>
      <c r="J1223">
        <v>3268.4560000000001</v>
      </c>
      <c r="K1223" t="s">
        <v>62</v>
      </c>
      <c r="L1223" t="s">
        <v>35</v>
      </c>
      <c r="M1223">
        <v>0</v>
      </c>
      <c r="N1223" t="s">
        <v>2418</v>
      </c>
      <c r="O1223" t="s">
        <v>2419</v>
      </c>
      <c r="P1223">
        <v>38.450000000000003</v>
      </c>
      <c r="Q1223" s="2">
        <v>44958</v>
      </c>
      <c r="R1223" s="2">
        <v>44962</v>
      </c>
      <c r="S1223" t="s">
        <v>44</v>
      </c>
      <c r="T1223">
        <f t="shared" si="133"/>
        <v>3306.9059999999999</v>
      </c>
      <c r="U1223">
        <f t="shared" si="134"/>
        <v>5</v>
      </c>
      <c r="V1223">
        <f t="shared" si="135"/>
        <v>3440.48</v>
      </c>
      <c r="W1223">
        <f t="shared" si="136"/>
        <v>172.02399999999989</v>
      </c>
      <c r="X1223">
        <f t="shared" si="137"/>
        <v>4</v>
      </c>
      <c r="Y1223" cm="1">
        <f t="array" ref="Y1223">_xlfn.IFS(H1223=0.1,1,H1223=0.15,1,H1223=0.05,1,H1223=0,0)</f>
        <v>1</v>
      </c>
      <c r="Z1223">
        <f t="shared" si="138"/>
        <v>8</v>
      </c>
      <c r="AA1223">
        <f t="shared" si="139"/>
        <v>2023</v>
      </c>
    </row>
    <row r="1224" spans="1:27" x14ac:dyDescent="0.3">
      <c r="A1224" s="2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65</v>
      </c>
      <c r="L1224" t="s">
        <v>35</v>
      </c>
      <c r="M1224">
        <v>0</v>
      </c>
      <c r="N1224" t="s">
        <v>2420</v>
      </c>
      <c r="O1224" t="s">
        <v>2421</v>
      </c>
      <c r="P1224">
        <v>45.78</v>
      </c>
      <c r="Q1224" s="2">
        <v>45473</v>
      </c>
      <c r="R1224" s="2">
        <v>45478</v>
      </c>
      <c r="S1224" t="s">
        <v>28</v>
      </c>
      <c r="T1224">
        <f t="shared" si="133"/>
        <v>5460.2519999999995</v>
      </c>
      <c r="U1224">
        <f t="shared" si="134"/>
        <v>10</v>
      </c>
      <c r="V1224">
        <f t="shared" si="135"/>
        <v>6016.08</v>
      </c>
      <c r="W1224">
        <f t="shared" si="136"/>
        <v>601.60800000000017</v>
      </c>
      <c r="X1224">
        <f t="shared" si="137"/>
        <v>5</v>
      </c>
      <c r="Y1224" cm="1">
        <f t="array" ref="Y1224">_xlfn.IFS(H1224=0.1,1,H1224=0.15,1,H1224=0.05,1,H1224=0,0)</f>
        <v>1</v>
      </c>
      <c r="Z1224">
        <f t="shared" si="138"/>
        <v>14</v>
      </c>
      <c r="AA1224">
        <f t="shared" si="139"/>
        <v>2024</v>
      </c>
    </row>
    <row r="1225" spans="1:27" x14ac:dyDescent="0.3">
      <c r="A1225" s="2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2422</v>
      </c>
      <c r="O1225" t="s">
        <v>2423</v>
      </c>
      <c r="P1225">
        <v>6.15</v>
      </c>
      <c r="Q1225" s="2">
        <v>45217</v>
      </c>
      <c r="R1225" s="2">
        <v>45220</v>
      </c>
      <c r="S1225" t="s">
        <v>50</v>
      </c>
      <c r="T1225">
        <f t="shared" si="133"/>
        <v>1661.5700000000002</v>
      </c>
      <c r="U1225">
        <f t="shared" si="134"/>
        <v>0</v>
      </c>
      <c r="V1225">
        <f t="shared" si="135"/>
        <v>1655.42</v>
      </c>
      <c r="W1225">
        <f t="shared" si="136"/>
        <v>0</v>
      </c>
      <c r="X1225">
        <f t="shared" si="137"/>
        <v>3</v>
      </c>
      <c r="Y1225" cm="1">
        <f t="array" ref="Y1225">_xlfn.IFS(H1225=0.1,1,H1225=0.15,1,H1225=0.05,1,H1225=0,0)</f>
        <v>0</v>
      </c>
      <c r="Z1225">
        <f t="shared" si="138"/>
        <v>0</v>
      </c>
      <c r="AA1225">
        <f t="shared" si="139"/>
        <v>2023</v>
      </c>
    </row>
    <row r="1226" spans="1:27" x14ac:dyDescent="0.3">
      <c r="A1226" s="2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68</v>
      </c>
      <c r="J1226">
        <v>2405.2289999999998</v>
      </c>
      <c r="K1226" t="s">
        <v>65</v>
      </c>
      <c r="L1226" t="s">
        <v>41</v>
      </c>
      <c r="M1226">
        <v>0</v>
      </c>
      <c r="N1226" t="s">
        <v>2424</v>
      </c>
      <c r="O1226" t="s">
        <v>2425</v>
      </c>
      <c r="P1226">
        <v>41.31</v>
      </c>
      <c r="Q1226" s="2">
        <v>45477</v>
      </c>
      <c r="R1226" s="2">
        <v>45486</v>
      </c>
      <c r="S1226" t="s">
        <v>28</v>
      </c>
      <c r="T1226">
        <f t="shared" si="133"/>
        <v>2446.5389999999998</v>
      </c>
      <c r="U1226">
        <f t="shared" si="134"/>
        <v>5</v>
      </c>
      <c r="V1226">
        <f t="shared" si="135"/>
        <v>2531.8200000000002</v>
      </c>
      <c r="W1226">
        <f t="shared" si="136"/>
        <v>126.59100000000035</v>
      </c>
      <c r="X1226">
        <f t="shared" si="137"/>
        <v>9</v>
      </c>
      <c r="Y1226" cm="1">
        <f t="array" ref="Y1226">_xlfn.IFS(H1226=0.1,1,H1226=0.15,1,H1226=0.05,1,H1226=0,0)</f>
        <v>1</v>
      </c>
      <c r="Z1226">
        <f t="shared" si="138"/>
        <v>6</v>
      </c>
      <c r="AA1226">
        <f t="shared" si="139"/>
        <v>2024</v>
      </c>
    </row>
    <row r="1227" spans="1:27" x14ac:dyDescent="0.3">
      <c r="A1227" s="2">
        <v>45477</v>
      </c>
      <c r="B1227" t="s">
        <v>19</v>
      </c>
      <c r="C1227" t="s">
        <v>81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2426</v>
      </c>
      <c r="O1227" t="s">
        <v>2427</v>
      </c>
      <c r="P1227">
        <v>47.6</v>
      </c>
      <c r="Q1227" s="2">
        <v>45477</v>
      </c>
      <c r="R1227" s="2">
        <v>45485</v>
      </c>
      <c r="S1227" t="s">
        <v>28</v>
      </c>
      <c r="T1227">
        <f t="shared" si="133"/>
        <v>1006.7825</v>
      </c>
      <c r="U1227">
        <f t="shared" si="134"/>
        <v>15</v>
      </c>
      <c r="V1227">
        <f t="shared" si="135"/>
        <v>1128.45</v>
      </c>
      <c r="W1227">
        <f t="shared" si="136"/>
        <v>169.26750000000004</v>
      </c>
      <c r="X1227">
        <f t="shared" si="137"/>
        <v>8</v>
      </c>
      <c r="Y1227" cm="1">
        <f t="array" ref="Y1227">_xlfn.IFS(H1227=0.1,1,H1227=0.15,1,H1227=0.05,1,H1227=0,0)</f>
        <v>1</v>
      </c>
      <c r="Z1227">
        <f t="shared" si="138"/>
        <v>5</v>
      </c>
      <c r="AA1227">
        <f t="shared" si="139"/>
        <v>2024</v>
      </c>
    </row>
    <row r="1228" spans="1:27" x14ac:dyDescent="0.3">
      <c r="A1228" s="2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62</v>
      </c>
      <c r="L1228" t="s">
        <v>41</v>
      </c>
      <c r="M1228">
        <v>0</v>
      </c>
      <c r="N1228" t="s">
        <v>2428</v>
      </c>
      <c r="O1228" t="s">
        <v>2429</v>
      </c>
      <c r="P1228">
        <v>28.72</v>
      </c>
      <c r="Q1228" s="2">
        <v>45134</v>
      </c>
      <c r="R1228" s="2">
        <v>45140</v>
      </c>
      <c r="S1228" t="s">
        <v>44</v>
      </c>
      <c r="T1228">
        <f t="shared" si="133"/>
        <v>2766.6549999999997</v>
      </c>
      <c r="U1228">
        <f t="shared" si="134"/>
        <v>15</v>
      </c>
      <c r="V1228">
        <f t="shared" si="135"/>
        <v>3221.1000000000004</v>
      </c>
      <c r="W1228">
        <f t="shared" si="136"/>
        <v>483.16500000000042</v>
      </c>
      <c r="X1228">
        <f t="shared" si="137"/>
        <v>6</v>
      </c>
      <c r="Y1228" cm="1">
        <f t="array" ref="Y1228">_xlfn.IFS(H1228=0.1,1,H1228=0.15,1,H1228=0.05,1,H1228=0,0)</f>
        <v>1</v>
      </c>
      <c r="Z1228">
        <f t="shared" si="138"/>
        <v>10</v>
      </c>
      <c r="AA1228">
        <f t="shared" si="139"/>
        <v>2023</v>
      </c>
    </row>
    <row r="1229" spans="1:27" x14ac:dyDescent="0.3">
      <c r="A1229" s="2">
        <v>45717</v>
      </c>
      <c r="B1229" t="s">
        <v>71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L1229" t="s">
        <v>59</v>
      </c>
      <c r="M1229">
        <v>0</v>
      </c>
      <c r="N1229" t="s">
        <v>2430</v>
      </c>
      <c r="O1229" t="s">
        <v>2431</v>
      </c>
      <c r="P1229">
        <v>6.89</v>
      </c>
      <c r="Q1229" s="2">
        <v>45717</v>
      </c>
      <c r="R1229" s="2">
        <v>45722</v>
      </c>
      <c r="S1229" t="s">
        <v>74</v>
      </c>
      <c r="T1229">
        <f t="shared" si="133"/>
        <v>802.23</v>
      </c>
      <c r="U1229">
        <f t="shared" si="134"/>
        <v>5</v>
      </c>
      <c r="V1229">
        <f t="shared" si="135"/>
        <v>837.2</v>
      </c>
      <c r="W1229">
        <f t="shared" si="136"/>
        <v>41.860000000000014</v>
      </c>
      <c r="X1229">
        <f t="shared" si="137"/>
        <v>5</v>
      </c>
      <c r="Y1229" cm="1">
        <f t="array" ref="Y1229">_xlfn.IFS(H1229=0.1,1,H1229=0.15,1,H1229=0.05,1,H1229=0,0)</f>
        <v>1</v>
      </c>
      <c r="Z1229">
        <f t="shared" si="138"/>
        <v>4</v>
      </c>
      <c r="AA1229">
        <f t="shared" si="139"/>
        <v>2025</v>
      </c>
    </row>
    <row r="1230" spans="1:27" x14ac:dyDescent="0.3">
      <c r="A1230" s="2">
        <v>44980</v>
      </c>
      <c r="B1230" t="s">
        <v>45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4696.7040000000006</v>
      </c>
      <c r="K1230" t="s">
        <v>58</v>
      </c>
      <c r="L1230" t="s">
        <v>59</v>
      </c>
      <c r="M1230">
        <v>0</v>
      </c>
      <c r="N1230" t="s">
        <v>2432</v>
      </c>
      <c r="O1230" t="s">
        <v>2433</v>
      </c>
      <c r="P1230">
        <v>44.3</v>
      </c>
      <c r="Q1230" s="2">
        <v>44980</v>
      </c>
      <c r="R1230" s="2">
        <v>44982</v>
      </c>
      <c r="S1230" t="s">
        <v>50</v>
      </c>
      <c r="T1230">
        <f t="shared" si="133"/>
        <v>4741.0040000000008</v>
      </c>
      <c r="U1230">
        <f t="shared" si="134"/>
        <v>10</v>
      </c>
      <c r="V1230">
        <f t="shared" si="135"/>
        <v>5218.5600000000004</v>
      </c>
      <c r="W1230">
        <f t="shared" si="136"/>
        <v>521.85599999999977</v>
      </c>
      <c r="X1230">
        <f t="shared" si="137"/>
        <v>2</v>
      </c>
      <c r="Y1230" cm="1">
        <f t="array" ref="Y1230">_xlfn.IFS(H1230=0.1,1,H1230=0.15,1,H1230=0.05,1,H1230=0,0)</f>
        <v>1</v>
      </c>
      <c r="Z1230">
        <f t="shared" si="138"/>
        <v>16</v>
      </c>
      <c r="AA1230">
        <f t="shared" si="139"/>
        <v>2023</v>
      </c>
    </row>
    <row r="1231" spans="1:27" x14ac:dyDescent="0.3">
      <c r="A1231" s="2">
        <v>44937</v>
      </c>
      <c r="B1231" t="s">
        <v>19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68</v>
      </c>
      <c r="J1231">
        <v>6700.4599999999991</v>
      </c>
      <c r="K1231" t="s">
        <v>24</v>
      </c>
      <c r="L1231" t="s">
        <v>25</v>
      </c>
      <c r="M1231">
        <v>0</v>
      </c>
      <c r="N1231" t="s">
        <v>2434</v>
      </c>
      <c r="O1231" t="s">
        <v>2435</v>
      </c>
      <c r="P1231">
        <v>43.37</v>
      </c>
      <c r="Q1231" s="2">
        <v>44937</v>
      </c>
      <c r="R1231" s="2">
        <v>44946</v>
      </c>
      <c r="S1231" t="s">
        <v>28</v>
      </c>
      <c r="T1231">
        <f t="shared" si="133"/>
        <v>6743.829999999999</v>
      </c>
      <c r="U1231">
        <f t="shared" si="134"/>
        <v>0</v>
      </c>
      <c r="V1231">
        <f t="shared" si="135"/>
        <v>6700.4599999999991</v>
      </c>
      <c r="W1231">
        <f t="shared" si="136"/>
        <v>0</v>
      </c>
      <c r="X1231">
        <f t="shared" si="137"/>
        <v>9</v>
      </c>
      <c r="Y1231" cm="1">
        <f t="array" ref="Y1231">_xlfn.IFS(H1231=0.1,1,H1231=0.15,1,H1231=0.05,1,H1231=0,0)</f>
        <v>0</v>
      </c>
      <c r="Z1231">
        <f t="shared" si="138"/>
        <v>0</v>
      </c>
      <c r="AA1231">
        <f t="shared" si="139"/>
        <v>2023</v>
      </c>
    </row>
    <row r="1232" spans="1:27" x14ac:dyDescent="0.3">
      <c r="A1232" s="2">
        <v>45398</v>
      </c>
      <c r="B1232" t="s">
        <v>71</v>
      </c>
      <c r="C1232" t="s">
        <v>81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908.81000000000006</v>
      </c>
      <c r="K1232" t="s">
        <v>34</v>
      </c>
      <c r="L1232" t="s">
        <v>41</v>
      </c>
      <c r="M1232">
        <v>0</v>
      </c>
      <c r="N1232" t="s">
        <v>2436</v>
      </c>
      <c r="O1232" t="s">
        <v>2437</v>
      </c>
      <c r="P1232">
        <v>13.12</v>
      </c>
      <c r="Q1232" s="2">
        <v>45398</v>
      </c>
      <c r="R1232" s="2">
        <v>45402</v>
      </c>
      <c r="S1232" t="s">
        <v>74</v>
      </c>
      <c r="T1232">
        <f t="shared" si="133"/>
        <v>921.93000000000006</v>
      </c>
      <c r="U1232">
        <f t="shared" si="134"/>
        <v>0</v>
      </c>
      <c r="V1232">
        <f t="shared" si="135"/>
        <v>908.81000000000006</v>
      </c>
      <c r="W1232">
        <f t="shared" si="136"/>
        <v>0</v>
      </c>
      <c r="X1232">
        <f t="shared" si="137"/>
        <v>4</v>
      </c>
      <c r="Y1232" cm="1">
        <f t="array" ref="Y1232">_xlfn.IFS(H1232=0.1,1,H1232=0.15,1,H1232=0.05,1,H1232=0,0)</f>
        <v>0</v>
      </c>
      <c r="Z1232">
        <f t="shared" si="138"/>
        <v>0</v>
      </c>
      <c r="AA1232">
        <f t="shared" si="139"/>
        <v>2024</v>
      </c>
    </row>
    <row r="1233" spans="1:27" x14ac:dyDescent="0.3">
      <c r="A1233" s="2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6074.8224999999993</v>
      </c>
      <c r="K1233" t="s">
        <v>34</v>
      </c>
      <c r="L1233" t="s">
        <v>41</v>
      </c>
      <c r="M1233">
        <v>1</v>
      </c>
      <c r="N1233" t="s">
        <v>2438</v>
      </c>
      <c r="O1233" t="s">
        <v>2439</v>
      </c>
      <c r="P1233">
        <v>31.96</v>
      </c>
      <c r="Q1233" s="2">
        <v>45360</v>
      </c>
      <c r="R1233" s="2">
        <v>45363</v>
      </c>
      <c r="S1233" t="s">
        <v>50</v>
      </c>
      <c r="T1233">
        <f t="shared" si="133"/>
        <v>6107.7824999999993</v>
      </c>
      <c r="U1233">
        <f t="shared" si="134"/>
        <v>5</v>
      </c>
      <c r="V1233">
        <f t="shared" si="135"/>
        <v>6394.5499999999993</v>
      </c>
      <c r="W1233">
        <f t="shared" si="136"/>
        <v>319.72749999999996</v>
      </c>
      <c r="X1233">
        <f t="shared" si="137"/>
        <v>3</v>
      </c>
      <c r="Y1233" cm="1">
        <f t="array" ref="Y1233">_xlfn.IFS(H1233=0.1,1,H1233=0.15,1,H1233=0.05,1,H1233=0,0)</f>
        <v>1</v>
      </c>
      <c r="Z1233">
        <f t="shared" si="138"/>
        <v>17</v>
      </c>
      <c r="AA1233">
        <f t="shared" si="139"/>
        <v>2024</v>
      </c>
    </row>
    <row r="1234" spans="1:27" x14ac:dyDescent="0.3">
      <c r="A1234" s="2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68</v>
      </c>
      <c r="J1234">
        <v>3083.68</v>
      </c>
      <c r="K1234" t="s">
        <v>65</v>
      </c>
      <c r="L1234" t="s">
        <v>35</v>
      </c>
      <c r="M1234">
        <v>0</v>
      </c>
      <c r="N1234" t="s">
        <v>2440</v>
      </c>
      <c r="O1234" t="s">
        <v>2441</v>
      </c>
      <c r="P1234">
        <v>8.89</v>
      </c>
      <c r="Q1234" s="2">
        <v>45572</v>
      </c>
      <c r="R1234" s="2">
        <v>45576</v>
      </c>
      <c r="S1234" t="s">
        <v>38</v>
      </c>
      <c r="T1234">
        <f t="shared" si="133"/>
        <v>3092.5699999999997</v>
      </c>
      <c r="U1234">
        <f t="shared" si="134"/>
        <v>0</v>
      </c>
      <c r="V1234">
        <f t="shared" si="135"/>
        <v>3083.68</v>
      </c>
      <c r="W1234">
        <f t="shared" si="136"/>
        <v>0</v>
      </c>
      <c r="X1234">
        <f t="shared" si="137"/>
        <v>4</v>
      </c>
      <c r="Y1234" cm="1">
        <f t="array" ref="Y1234">_xlfn.IFS(H1234=0.1,1,H1234=0.15,1,H1234=0.05,1,H1234=0,0)</f>
        <v>0</v>
      </c>
      <c r="Z1234">
        <f t="shared" si="138"/>
        <v>0</v>
      </c>
      <c r="AA1234">
        <f t="shared" si="139"/>
        <v>2024</v>
      </c>
    </row>
    <row r="1235" spans="1:27" x14ac:dyDescent="0.3">
      <c r="A1235" s="2">
        <v>45205</v>
      </c>
      <c r="B1235" t="s">
        <v>71</v>
      </c>
      <c r="C1235" t="s">
        <v>132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2442</v>
      </c>
      <c r="O1235" t="s">
        <v>2443</v>
      </c>
      <c r="P1235">
        <v>14.41</v>
      </c>
      <c r="Q1235" s="2">
        <v>45205</v>
      </c>
      <c r="R1235" s="2">
        <v>45214</v>
      </c>
      <c r="S1235" t="s">
        <v>74</v>
      </c>
      <c r="T1235">
        <f t="shared" si="133"/>
        <v>963.67</v>
      </c>
      <c r="U1235">
        <f t="shared" si="134"/>
        <v>0</v>
      </c>
      <c r="V1235">
        <f t="shared" si="135"/>
        <v>948.26</v>
      </c>
      <c r="W1235">
        <f t="shared" si="136"/>
        <v>0</v>
      </c>
      <c r="X1235">
        <f t="shared" si="137"/>
        <v>9</v>
      </c>
      <c r="Y1235" cm="1">
        <f t="array" ref="Y1235">_xlfn.IFS(H1235=0.1,1,H1235=0.15,1,H1235=0.05,1,H1235=0,0)</f>
        <v>0</v>
      </c>
      <c r="Z1235">
        <f t="shared" si="138"/>
        <v>0</v>
      </c>
      <c r="AA1235">
        <f t="shared" si="139"/>
        <v>2023</v>
      </c>
    </row>
    <row r="1236" spans="1:27" x14ac:dyDescent="0.3">
      <c r="A1236" s="2">
        <v>45024</v>
      </c>
      <c r="B1236" t="s">
        <v>71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L1236" t="s">
        <v>59</v>
      </c>
      <c r="M1236">
        <v>0</v>
      </c>
      <c r="N1236" t="s">
        <v>2444</v>
      </c>
      <c r="O1236" t="s">
        <v>2445</v>
      </c>
      <c r="P1236">
        <v>41.73</v>
      </c>
      <c r="Q1236" s="2">
        <v>45024</v>
      </c>
      <c r="R1236" s="2">
        <v>45029</v>
      </c>
      <c r="S1236" t="s">
        <v>74</v>
      </c>
      <c r="T1236">
        <f t="shared" si="133"/>
        <v>7254.6524999999992</v>
      </c>
      <c r="U1236">
        <f t="shared" si="134"/>
        <v>5</v>
      </c>
      <c r="V1236">
        <f t="shared" si="135"/>
        <v>7592.55</v>
      </c>
      <c r="W1236">
        <f t="shared" si="136"/>
        <v>379.62750000000051</v>
      </c>
      <c r="X1236">
        <f t="shared" si="137"/>
        <v>5</v>
      </c>
      <c r="Y1236" cm="1">
        <f t="array" ref="Y1236">_xlfn.IFS(H1236=0.1,1,H1236=0.15,1,H1236=0.05,1,H1236=0,0)</f>
        <v>1</v>
      </c>
      <c r="Z1236">
        <f t="shared" si="138"/>
        <v>15</v>
      </c>
      <c r="AA1236">
        <f t="shared" si="139"/>
        <v>2023</v>
      </c>
    </row>
    <row r="1237" spans="1:27" x14ac:dyDescent="0.3">
      <c r="A1237" s="2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2446</v>
      </c>
      <c r="O1237" t="s">
        <v>2447</v>
      </c>
      <c r="P1237">
        <v>6.14</v>
      </c>
      <c r="Q1237" s="2">
        <v>45342</v>
      </c>
      <c r="R1237" s="2">
        <v>45349</v>
      </c>
      <c r="S1237" t="s">
        <v>38</v>
      </c>
      <c r="T1237">
        <f t="shared" si="133"/>
        <v>63.413000000000004</v>
      </c>
      <c r="U1237">
        <f t="shared" si="134"/>
        <v>15</v>
      </c>
      <c r="V1237">
        <f t="shared" si="135"/>
        <v>67.38</v>
      </c>
      <c r="W1237">
        <f t="shared" si="136"/>
        <v>10.106999999999992</v>
      </c>
      <c r="X1237">
        <f t="shared" si="137"/>
        <v>7</v>
      </c>
      <c r="Y1237" cm="1">
        <f t="array" ref="Y1237">_xlfn.IFS(H1237=0.1,1,H1237=0.15,1,H1237=0.05,1,H1237=0,0)</f>
        <v>1</v>
      </c>
      <c r="Z1237">
        <f t="shared" si="138"/>
        <v>1</v>
      </c>
      <c r="AA1237">
        <f t="shared" si="139"/>
        <v>2024</v>
      </c>
    </row>
    <row r="1238" spans="1:27" x14ac:dyDescent="0.3">
      <c r="A1238" s="2">
        <v>44956</v>
      </c>
      <c r="B1238" t="s">
        <v>71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L1238" t="s">
        <v>59</v>
      </c>
      <c r="M1238">
        <v>0</v>
      </c>
      <c r="N1238" t="s">
        <v>2448</v>
      </c>
      <c r="O1238" t="s">
        <v>2449</v>
      </c>
      <c r="P1238">
        <v>21.56</v>
      </c>
      <c r="Q1238" s="2">
        <v>44956</v>
      </c>
      <c r="R1238" s="2">
        <v>44965</v>
      </c>
      <c r="S1238" t="s">
        <v>74</v>
      </c>
      <c r="T1238">
        <f t="shared" si="133"/>
        <v>3518.8849999999998</v>
      </c>
      <c r="U1238">
        <f t="shared" si="134"/>
        <v>15</v>
      </c>
      <c r="V1238">
        <f t="shared" si="135"/>
        <v>4114.5</v>
      </c>
      <c r="W1238">
        <f t="shared" si="136"/>
        <v>617.17500000000018</v>
      </c>
      <c r="X1238">
        <f t="shared" si="137"/>
        <v>9</v>
      </c>
      <c r="Y1238" cm="1">
        <f t="array" ref="Y1238">_xlfn.IFS(H1238=0.1,1,H1238=0.15,1,H1238=0.05,1,H1238=0,0)</f>
        <v>1</v>
      </c>
      <c r="Z1238">
        <f t="shared" si="138"/>
        <v>15</v>
      </c>
      <c r="AA1238">
        <f t="shared" si="139"/>
        <v>2023</v>
      </c>
    </row>
    <row r="1239" spans="1:27" x14ac:dyDescent="0.3">
      <c r="A1239" s="2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62</v>
      </c>
      <c r="L1239" t="s">
        <v>59</v>
      </c>
      <c r="M1239">
        <v>0</v>
      </c>
      <c r="N1239" t="s">
        <v>2450</v>
      </c>
      <c r="O1239" t="s">
        <v>2451</v>
      </c>
      <c r="P1239">
        <v>31.53</v>
      </c>
      <c r="Q1239" s="2">
        <v>45058</v>
      </c>
      <c r="R1239" s="2">
        <v>45066</v>
      </c>
      <c r="S1239" t="s">
        <v>38</v>
      </c>
      <c r="T1239">
        <f t="shared" si="133"/>
        <v>700.49</v>
      </c>
      <c r="U1239">
        <f t="shared" si="134"/>
        <v>0</v>
      </c>
      <c r="V1239">
        <f t="shared" si="135"/>
        <v>668.96</v>
      </c>
      <c r="W1239">
        <f t="shared" si="136"/>
        <v>0</v>
      </c>
      <c r="X1239">
        <f t="shared" si="137"/>
        <v>8</v>
      </c>
      <c r="Y1239" cm="1">
        <f t="array" ref="Y1239">_xlfn.IFS(H1239=0.1,1,H1239=0.15,1,H1239=0.05,1,H1239=0,0)</f>
        <v>0</v>
      </c>
      <c r="Z1239">
        <f t="shared" si="138"/>
        <v>0</v>
      </c>
      <c r="AA1239">
        <f t="shared" si="139"/>
        <v>2023</v>
      </c>
    </row>
    <row r="1240" spans="1:27" x14ac:dyDescent="0.3">
      <c r="A1240" s="2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2452</v>
      </c>
      <c r="O1240" t="s">
        <v>2453</v>
      </c>
      <c r="P1240">
        <v>19.95</v>
      </c>
      <c r="Q1240" s="2">
        <v>45299</v>
      </c>
      <c r="R1240" s="2">
        <v>45303</v>
      </c>
      <c r="S1240" t="s">
        <v>38</v>
      </c>
      <c r="T1240">
        <f t="shared" si="133"/>
        <v>3367.4199999999996</v>
      </c>
      <c r="U1240">
        <f t="shared" si="134"/>
        <v>15</v>
      </c>
      <c r="V1240">
        <f t="shared" si="135"/>
        <v>3938.2000000000003</v>
      </c>
      <c r="W1240">
        <f t="shared" si="136"/>
        <v>590.73000000000047</v>
      </c>
      <c r="X1240">
        <f t="shared" si="137"/>
        <v>4</v>
      </c>
      <c r="Y1240" cm="1">
        <f t="array" ref="Y1240">_xlfn.IFS(H1240=0.1,1,H1240=0.15,1,H1240=0.05,1,H1240=0,0)</f>
        <v>1</v>
      </c>
      <c r="Z1240">
        <f t="shared" si="138"/>
        <v>7</v>
      </c>
      <c r="AA1240">
        <f t="shared" si="139"/>
        <v>2024</v>
      </c>
    </row>
    <row r="1241" spans="1:27" x14ac:dyDescent="0.3">
      <c r="A1241" s="2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95.36099999999999</v>
      </c>
      <c r="K1241" t="s">
        <v>62</v>
      </c>
      <c r="L1241" t="s">
        <v>41</v>
      </c>
      <c r="M1241">
        <v>0</v>
      </c>
      <c r="N1241" t="s">
        <v>2454</v>
      </c>
      <c r="O1241" t="s">
        <v>152</v>
      </c>
      <c r="P1241">
        <v>19.45</v>
      </c>
      <c r="Q1241" s="2">
        <v>45448</v>
      </c>
      <c r="R1241" s="2">
        <v>45451</v>
      </c>
      <c r="S1241" t="s">
        <v>44</v>
      </c>
      <c r="T1241">
        <f t="shared" si="133"/>
        <v>114.81099999999999</v>
      </c>
      <c r="U1241">
        <f t="shared" si="134"/>
        <v>5</v>
      </c>
      <c r="V1241">
        <f t="shared" si="135"/>
        <v>100.38</v>
      </c>
      <c r="W1241">
        <f t="shared" si="136"/>
        <v>5.0190000000000055</v>
      </c>
      <c r="X1241">
        <f t="shared" si="137"/>
        <v>3</v>
      </c>
      <c r="Y1241" cm="1">
        <f t="array" ref="Y1241">_xlfn.IFS(H1241=0.1,1,H1241=0.15,1,H1241=0.05,1,H1241=0,0)</f>
        <v>1</v>
      </c>
      <c r="Z1241">
        <f t="shared" si="138"/>
        <v>7</v>
      </c>
      <c r="AA1241">
        <f t="shared" si="139"/>
        <v>2024</v>
      </c>
    </row>
    <row r="1242" spans="1:27" x14ac:dyDescent="0.3">
      <c r="A1242" s="2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2455</v>
      </c>
      <c r="O1242" t="s">
        <v>2456</v>
      </c>
      <c r="P1242">
        <v>9.31</v>
      </c>
      <c r="Q1242" s="2">
        <v>45798</v>
      </c>
      <c r="R1242" s="2">
        <v>45800</v>
      </c>
      <c r="S1242" t="s">
        <v>28</v>
      </c>
      <c r="T1242">
        <f t="shared" si="133"/>
        <v>353.03800000000001</v>
      </c>
      <c r="U1242">
        <f t="shared" si="134"/>
        <v>10</v>
      </c>
      <c r="V1242">
        <f t="shared" si="135"/>
        <v>381.91999999999996</v>
      </c>
      <c r="W1242">
        <f t="shared" si="136"/>
        <v>38.19199999999995</v>
      </c>
      <c r="X1242">
        <f t="shared" si="137"/>
        <v>2</v>
      </c>
      <c r="Y1242" cm="1">
        <f t="array" ref="Y1242">_xlfn.IFS(H1242=0.1,1,H1242=0.15,1,H1242=0.05,1,H1242=0,0)</f>
        <v>1</v>
      </c>
      <c r="Z1242">
        <f t="shared" si="138"/>
        <v>11</v>
      </c>
      <c r="AA1242">
        <f t="shared" si="139"/>
        <v>2025</v>
      </c>
    </row>
    <row r="1243" spans="1:27" x14ac:dyDescent="0.3">
      <c r="A1243" s="2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65</v>
      </c>
      <c r="L1243" t="s">
        <v>59</v>
      </c>
      <c r="M1243">
        <v>1</v>
      </c>
      <c r="N1243" t="s">
        <v>2457</v>
      </c>
      <c r="O1243" t="s">
        <v>2458</v>
      </c>
      <c r="P1243">
        <v>46.57</v>
      </c>
      <c r="Q1243" s="2">
        <v>45798</v>
      </c>
      <c r="R1243" s="2">
        <v>45803</v>
      </c>
      <c r="S1243" t="s">
        <v>28</v>
      </c>
      <c r="T1243">
        <f t="shared" si="133"/>
        <v>152.99</v>
      </c>
      <c r="U1243">
        <f t="shared" si="134"/>
        <v>0</v>
      </c>
      <c r="V1243">
        <f t="shared" si="135"/>
        <v>105.42</v>
      </c>
      <c r="W1243">
        <f t="shared" si="136"/>
        <v>0</v>
      </c>
      <c r="X1243">
        <f t="shared" si="137"/>
        <v>5</v>
      </c>
      <c r="Y1243" cm="1">
        <f t="array" ref="Y1243">_xlfn.IFS(H1243=0.1,1,H1243=0.15,1,H1243=0.05,1,H1243=0,0)</f>
        <v>0</v>
      </c>
      <c r="Z1243">
        <f t="shared" si="138"/>
        <v>0</v>
      </c>
      <c r="AA1243">
        <f t="shared" si="139"/>
        <v>2025</v>
      </c>
    </row>
    <row r="1244" spans="1:27" x14ac:dyDescent="0.3">
      <c r="A1244" s="2">
        <v>44990</v>
      </c>
      <c r="B1244" t="s">
        <v>19</v>
      </c>
      <c r="C1244" t="s">
        <v>132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68</v>
      </c>
      <c r="J1244">
        <v>5101.3764999999994</v>
      </c>
      <c r="K1244" t="s">
        <v>65</v>
      </c>
      <c r="L1244" t="s">
        <v>41</v>
      </c>
      <c r="M1244">
        <v>1</v>
      </c>
      <c r="N1244" t="s">
        <v>2459</v>
      </c>
      <c r="O1244" t="s">
        <v>2460</v>
      </c>
      <c r="P1244">
        <v>37.47</v>
      </c>
      <c r="Q1244" s="2">
        <v>44990</v>
      </c>
      <c r="R1244" s="2">
        <v>44996</v>
      </c>
      <c r="S1244" t="s">
        <v>28</v>
      </c>
      <c r="T1244">
        <f t="shared" si="133"/>
        <v>5139.8464999999997</v>
      </c>
      <c r="U1244">
        <f t="shared" si="134"/>
        <v>5</v>
      </c>
      <c r="V1244">
        <f t="shared" si="135"/>
        <v>5369.87</v>
      </c>
      <c r="W1244">
        <f t="shared" si="136"/>
        <v>268.49350000000049</v>
      </c>
      <c r="X1244">
        <f t="shared" si="137"/>
        <v>6</v>
      </c>
      <c r="Y1244" cm="1">
        <f t="array" ref="Y1244">_xlfn.IFS(H1244=0.1,1,H1244=0.15,1,H1244=0.05,1,H1244=0,0)</f>
        <v>1</v>
      </c>
      <c r="Z1244">
        <f t="shared" si="138"/>
        <v>11</v>
      </c>
      <c r="AA1244">
        <f t="shared" si="139"/>
        <v>2023</v>
      </c>
    </row>
    <row r="1245" spans="1:27" x14ac:dyDescent="0.3">
      <c r="A1245" s="2">
        <v>45592</v>
      </c>
      <c r="B1245" t="s">
        <v>29</v>
      </c>
      <c r="C1245" t="s">
        <v>81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</v>
      </c>
      <c r="K1245" t="s">
        <v>58</v>
      </c>
      <c r="L1245" t="s">
        <v>35</v>
      </c>
      <c r="M1245">
        <v>0</v>
      </c>
      <c r="N1245" t="s">
        <v>2461</v>
      </c>
      <c r="O1245" t="s">
        <v>1873</v>
      </c>
      <c r="P1245">
        <v>25.86</v>
      </c>
      <c r="Q1245" s="2">
        <v>45592</v>
      </c>
      <c r="R1245" s="2">
        <v>45598</v>
      </c>
      <c r="S1245" t="s">
        <v>38</v>
      </c>
      <c r="T1245">
        <f t="shared" si="133"/>
        <v>2575.5649999999991</v>
      </c>
      <c r="U1245">
        <f t="shared" si="134"/>
        <v>5</v>
      </c>
      <c r="V1245">
        <f t="shared" si="135"/>
        <v>2683.8999999999996</v>
      </c>
      <c r="W1245">
        <f t="shared" si="136"/>
        <v>134.19500000000062</v>
      </c>
      <c r="X1245">
        <f t="shared" si="137"/>
        <v>6</v>
      </c>
      <c r="Y1245" cm="1">
        <f t="array" ref="Y1245">_xlfn.IFS(H1245=0.1,1,H1245=0.15,1,H1245=0.05,1,H1245=0,0)</f>
        <v>1</v>
      </c>
      <c r="Z1245">
        <f t="shared" si="138"/>
        <v>10</v>
      </c>
      <c r="AA1245">
        <f t="shared" si="139"/>
        <v>2024</v>
      </c>
    </row>
    <row r="1246" spans="1:27" x14ac:dyDescent="0.3">
      <c r="A1246" s="2">
        <v>45740</v>
      </c>
      <c r="B1246" t="s">
        <v>39</v>
      </c>
      <c r="C1246" t="s">
        <v>81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288.81000000000012</v>
      </c>
      <c r="K1246" t="s">
        <v>34</v>
      </c>
      <c r="L1246" t="s">
        <v>35</v>
      </c>
      <c r="M1246">
        <v>0</v>
      </c>
      <c r="N1246" t="s">
        <v>2462</v>
      </c>
      <c r="O1246" t="s">
        <v>2463</v>
      </c>
      <c r="P1246">
        <v>21.17</v>
      </c>
      <c r="Q1246" s="2">
        <v>45740</v>
      </c>
      <c r="R1246" s="2">
        <v>45745</v>
      </c>
      <c r="S1246" t="s">
        <v>44</v>
      </c>
      <c r="T1246">
        <f t="shared" si="133"/>
        <v>309.98000000000013</v>
      </c>
      <c r="U1246">
        <f t="shared" si="134"/>
        <v>10</v>
      </c>
      <c r="V1246">
        <f t="shared" si="135"/>
        <v>320.90000000000003</v>
      </c>
      <c r="W1246">
        <f t="shared" si="136"/>
        <v>32.089999999999918</v>
      </c>
      <c r="X1246">
        <f t="shared" si="137"/>
        <v>5</v>
      </c>
      <c r="Y1246" cm="1">
        <f t="array" ref="Y1246">_xlfn.IFS(H1246=0.1,1,H1246=0.15,1,H1246=0.05,1,H1246=0,0)</f>
        <v>1</v>
      </c>
      <c r="Z1246">
        <f t="shared" si="138"/>
        <v>5</v>
      </c>
      <c r="AA1246">
        <f t="shared" si="139"/>
        <v>2025</v>
      </c>
    </row>
    <row r="1247" spans="1:27" x14ac:dyDescent="0.3">
      <c r="A1247" s="2">
        <v>45556</v>
      </c>
      <c r="B1247" t="s">
        <v>71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65</v>
      </c>
      <c r="L1247" t="s">
        <v>35</v>
      </c>
      <c r="M1247">
        <v>1</v>
      </c>
      <c r="N1247" t="s">
        <v>2464</v>
      </c>
      <c r="O1247" t="s">
        <v>2465</v>
      </c>
      <c r="P1247">
        <v>36.68</v>
      </c>
      <c r="Q1247" s="2">
        <v>45556</v>
      </c>
      <c r="R1247" s="2">
        <v>45562</v>
      </c>
      <c r="S1247" t="s">
        <v>74</v>
      </c>
      <c r="T1247">
        <f t="shared" si="133"/>
        <v>6686.0174999999999</v>
      </c>
      <c r="U1247">
        <f t="shared" si="134"/>
        <v>5</v>
      </c>
      <c r="V1247">
        <f t="shared" si="135"/>
        <v>6998.25</v>
      </c>
      <c r="W1247">
        <f t="shared" si="136"/>
        <v>349.91250000000036</v>
      </c>
      <c r="X1247">
        <f t="shared" si="137"/>
        <v>6</v>
      </c>
      <c r="Y1247" cm="1">
        <f t="array" ref="Y1247">_xlfn.IFS(H1247=0.1,1,H1247=0.15,1,H1247=0.05,1,H1247=0,0)</f>
        <v>1</v>
      </c>
      <c r="Z1247">
        <f t="shared" si="138"/>
        <v>15</v>
      </c>
      <c r="AA1247">
        <f t="shared" si="139"/>
        <v>2024</v>
      </c>
    </row>
    <row r="1248" spans="1:27" x14ac:dyDescent="0.3">
      <c r="A1248" s="2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68</v>
      </c>
      <c r="J1248">
        <v>3840.5839999999998</v>
      </c>
      <c r="K1248" t="s">
        <v>62</v>
      </c>
      <c r="L1248" t="s">
        <v>59</v>
      </c>
      <c r="M1248">
        <v>0</v>
      </c>
      <c r="N1248" t="s">
        <v>2466</v>
      </c>
      <c r="O1248" t="s">
        <v>2467</v>
      </c>
      <c r="P1248">
        <v>22.88</v>
      </c>
      <c r="Q1248" s="2">
        <v>45795</v>
      </c>
      <c r="R1248" s="2">
        <v>45804</v>
      </c>
      <c r="S1248" t="s">
        <v>44</v>
      </c>
      <c r="T1248">
        <f t="shared" si="133"/>
        <v>3863.4639999999999</v>
      </c>
      <c r="U1248">
        <f t="shared" si="134"/>
        <v>5</v>
      </c>
      <c r="V1248">
        <f t="shared" si="135"/>
        <v>4042.72</v>
      </c>
      <c r="W1248">
        <f t="shared" si="136"/>
        <v>202.13599999999997</v>
      </c>
      <c r="X1248">
        <f t="shared" si="137"/>
        <v>9</v>
      </c>
      <c r="Y1248" cm="1">
        <f t="array" ref="Y1248">_xlfn.IFS(H1248=0.1,1,H1248=0.15,1,H1248=0.05,1,H1248=0,0)</f>
        <v>1</v>
      </c>
      <c r="Z1248">
        <f t="shared" si="138"/>
        <v>8</v>
      </c>
      <c r="AA1248">
        <f t="shared" si="139"/>
        <v>2025</v>
      </c>
    </row>
    <row r="1249" spans="1:27" x14ac:dyDescent="0.3">
      <c r="A1249" s="2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544.05000000000007</v>
      </c>
      <c r="K1249" t="s">
        <v>58</v>
      </c>
      <c r="L1249" t="s">
        <v>25</v>
      </c>
      <c r="M1249">
        <v>0</v>
      </c>
      <c r="N1249" t="s">
        <v>2468</v>
      </c>
      <c r="O1249" t="s">
        <v>2469</v>
      </c>
      <c r="P1249">
        <v>12.98</v>
      </c>
      <c r="Q1249" s="2">
        <v>45484</v>
      </c>
      <c r="R1249" s="2">
        <v>45487</v>
      </c>
      <c r="S1249" t="s">
        <v>28</v>
      </c>
      <c r="T1249">
        <f t="shared" si="133"/>
        <v>557.03000000000009</v>
      </c>
      <c r="U1249">
        <f t="shared" si="134"/>
        <v>10</v>
      </c>
      <c r="V1249">
        <f t="shared" si="135"/>
        <v>604.5</v>
      </c>
      <c r="W1249">
        <f t="shared" si="136"/>
        <v>60.449999999999932</v>
      </c>
      <c r="X1249">
        <f t="shared" si="137"/>
        <v>3</v>
      </c>
      <c r="Y1249" cm="1">
        <f t="array" ref="Y1249">_xlfn.IFS(H1249=0.1,1,H1249=0.15,1,H1249=0.05,1,H1249=0,0)</f>
        <v>1</v>
      </c>
      <c r="Z1249">
        <f t="shared" si="138"/>
        <v>6</v>
      </c>
      <c r="AA1249">
        <f t="shared" si="139"/>
        <v>2024</v>
      </c>
    </row>
    <row r="1250" spans="1:27" x14ac:dyDescent="0.3">
      <c r="A1250" s="2">
        <v>45684</v>
      </c>
      <c r="B1250" t="s">
        <v>39</v>
      </c>
      <c r="C1250" t="s">
        <v>81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65</v>
      </c>
      <c r="L1250" t="s">
        <v>59</v>
      </c>
      <c r="M1250">
        <v>0</v>
      </c>
      <c r="N1250" t="s">
        <v>2470</v>
      </c>
      <c r="O1250" t="s">
        <v>2471</v>
      </c>
      <c r="P1250">
        <v>30.8</v>
      </c>
      <c r="Q1250" s="2">
        <v>45684</v>
      </c>
      <c r="R1250" s="2">
        <v>45692</v>
      </c>
      <c r="S1250" t="s">
        <v>44</v>
      </c>
      <c r="T1250">
        <f t="shared" si="133"/>
        <v>2711.4720000000002</v>
      </c>
      <c r="U1250">
        <f t="shared" si="134"/>
        <v>5</v>
      </c>
      <c r="V1250">
        <f t="shared" si="135"/>
        <v>2821.76</v>
      </c>
      <c r="W1250">
        <f t="shared" si="136"/>
        <v>141.08800000000019</v>
      </c>
      <c r="X1250">
        <f t="shared" si="137"/>
        <v>8</v>
      </c>
      <c r="Y1250" cm="1">
        <f t="array" ref="Y1250">_xlfn.IFS(H1250=0.1,1,H1250=0.15,1,H1250=0.05,1,H1250=0,0)</f>
        <v>1</v>
      </c>
      <c r="Z1250">
        <f t="shared" si="138"/>
        <v>8</v>
      </c>
      <c r="AA1250">
        <f t="shared" si="139"/>
        <v>2025</v>
      </c>
    </row>
    <row r="1251" spans="1:27" x14ac:dyDescent="0.3">
      <c r="A1251" s="2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68</v>
      </c>
      <c r="J1251">
        <v>4736.34</v>
      </c>
      <c r="K1251" t="s">
        <v>65</v>
      </c>
      <c r="L1251" t="s">
        <v>25</v>
      </c>
      <c r="M1251">
        <v>0</v>
      </c>
      <c r="N1251" t="s">
        <v>2472</v>
      </c>
      <c r="O1251" t="s">
        <v>1414</v>
      </c>
      <c r="P1251">
        <v>15.47</v>
      </c>
      <c r="Q1251" s="2">
        <v>45256</v>
      </c>
      <c r="R1251" s="2">
        <v>45266</v>
      </c>
      <c r="S1251" t="s">
        <v>28</v>
      </c>
      <c r="T1251">
        <f t="shared" si="133"/>
        <v>4751.8100000000004</v>
      </c>
      <c r="U1251">
        <f t="shared" si="134"/>
        <v>0</v>
      </c>
      <c r="V1251">
        <f t="shared" si="135"/>
        <v>4736.34</v>
      </c>
      <c r="W1251">
        <f t="shared" si="136"/>
        <v>0</v>
      </c>
      <c r="X1251">
        <f t="shared" si="137"/>
        <v>10</v>
      </c>
      <c r="Y1251" cm="1">
        <f t="array" ref="Y1251">_xlfn.IFS(H1251=0.1,1,H1251=0.15,1,H1251=0.05,1,H1251=0,0)</f>
        <v>0</v>
      </c>
      <c r="Z1251">
        <f t="shared" si="138"/>
        <v>0</v>
      </c>
      <c r="AA1251">
        <f t="shared" si="139"/>
        <v>2023</v>
      </c>
    </row>
    <row r="1252" spans="1:27" x14ac:dyDescent="0.3">
      <c r="A1252" s="2">
        <v>45445</v>
      </c>
      <c r="B1252" t="s">
        <v>45</v>
      </c>
      <c r="C1252" t="s">
        <v>132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7947.1259999999993</v>
      </c>
      <c r="K1252" t="s">
        <v>65</v>
      </c>
      <c r="L1252" t="s">
        <v>41</v>
      </c>
      <c r="M1252">
        <v>0</v>
      </c>
      <c r="N1252" t="s">
        <v>2473</v>
      </c>
      <c r="O1252" t="s">
        <v>2474</v>
      </c>
      <c r="P1252">
        <v>32.96</v>
      </c>
      <c r="Q1252" s="2">
        <v>45445</v>
      </c>
      <c r="R1252" s="2">
        <v>45447</v>
      </c>
      <c r="S1252" t="s">
        <v>50</v>
      </c>
      <c r="T1252">
        <f t="shared" si="133"/>
        <v>7980.0859999999993</v>
      </c>
      <c r="U1252">
        <f t="shared" si="134"/>
        <v>15</v>
      </c>
      <c r="V1252">
        <f t="shared" si="135"/>
        <v>9349.56</v>
      </c>
      <c r="W1252">
        <f t="shared" si="136"/>
        <v>1402.4340000000002</v>
      </c>
      <c r="X1252">
        <f t="shared" si="137"/>
        <v>2</v>
      </c>
      <c r="Y1252" cm="1">
        <f t="array" ref="Y1252">_xlfn.IFS(H1252=0.1,1,H1252=0.15,1,H1252=0.05,1,H1252=0,0)</f>
        <v>1</v>
      </c>
      <c r="Z1252">
        <f t="shared" si="138"/>
        <v>18</v>
      </c>
      <c r="AA1252">
        <f t="shared" si="139"/>
        <v>2024</v>
      </c>
    </row>
    <row r="1253" spans="1:27" x14ac:dyDescent="0.3">
      <c r="A1253" s="2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2475</v>
      </c>
      <c r="O1253" t="s">
        <v>2476</v>
      </c>
      <c r="P1253">
        <v>10.72</v>
      </c>
      <c r="Q1253" s="2">
        <v>44943</v>
      </c>
      <c r="R1253" s="2">
        <v>44950</v>
      </c>
      <c r="S1253" t="s">
        <v>44</v>
      </c>
      <c r="T1253">
        <f t="shared" si="133"/>
        <v>1865.386</v>
      </c>
      <c r="U1253">
        <f t="shared" si="134"/>
        <v>5</v>
      </c>
      <c r="V1253">
        <f t="shared" si="135"/>
        <v>1952.28</v>
      </c>
      <c r="W1253">
        <f t="shared" si="136"/>
        <v>97.614000000000033</v>
      </c>
      <c r="X1253">
        <f t="shared" si="137"/>
        <v>7</v>
      </c>
      <c r="Y1253" cm="1">
        <f t="array" ref="Y1253">_xlfn.IFS(H1253=0.1,1,H1253=0.15,1,H1253=0.05,1,H1253=0,0)</f>
        <v>1</v>
      </c>
      <c r="Z1253">
        <f t="shared" si="138"/>
        <v>18</v>
      </c>
      <c r="AA1253">
        <f t="shared" si="139"/>
        <v>2023</v>
      </c>
    </row>
    <row r="1254" spans="1:27" x14ac:dyDescent="0.3">
      <c r="A1254" s="2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L1254" t="s">
        <v>59</v>
      </c>
      <c r="M1254">
        <v>0</v>
      </c>
      <c r="N1254" t="s">
        <v>2477</v>
      </c>
      <c r="O1254" t="s">
        <v>2478</v>
      </c>
      <c r="P1254">
        <v>24.51</v>
      </c>
      <c r="Q1254" s="2">
        <v>45780</v>
      </c>
      <c r="R1254" s="2">
        <v>45788</v>
      </c>
      <c r="S1254" t="s">
        <v>44</v>
      </c>
      <c r="T1254">
        <f t="shared" si="133"/>
        <v>5219.9080000000004</v>
      </c>
      <c r="U1254">
        <f t="shared" si="134"/>
        <v>5</v>
      </c>
      <c r="V1254">
        <f t="shared" si="135"/>
        <v>5468.84</v>
      </c>
      <c r="W1254">
        <f t="shared" si="136"/>
        <v>273.44200000000001</v>
      </c>
      <c r="X1254">
        <f t="shared" si="137"/>
        <v>8</v>
      </c>
      <c r="Y1254" cm="1">
        <f t="array" ref="Y1254">_xlfn.IFS(H1254=0.1,1,H1254=0.15,1,H1254=0.05,1,H1254=0,0)</f>
        <v>1</v>
      </c>
      <c r="Z1254">
        <f t="shared" si="138"/>
        <v>13</v>
      </c>
      <c r="AA1254">
        <f t="shared" si="139"/>
        <v>2025</v>
      </c>
    </row>
    <row r="1255" spans="1:27" x14ac:dyDescent="0.3">
      <c r="A1255" s="2">
        <v>45662</v>
      </c>
      <c r="B1255" t="s">
        <v>39</v>
      </c>
      <c r="C1255" t="s">
        <v>132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2479</v>
      </c>
      <c r="O1255" t="s">
        <v>2480</v>
      </c>
      <c r="P1255">
        <v>44.85</v>
      </c>
      <c r="Q1255" s="2">
        <v>45662</v>
      </c>
      <c r="R1255" s="2">
        <v>45670</v>
      </c>
      <c r="S1255" t="s">
        <v>44</v>
      </c>
      <c r="T1255">
        <f t="shared" si="133"/>
        <v>130.24950000000001</v>
      </c>
      <c r="U1255">
        <f t="shared" si="134"/>
        <v>15</v>
      </c>
      <c r="V1255">
        <f t="shared" si="135"/>
        <v>100.47</v>
      </c>
      <c r="W1255">
        <f t="shared" si="136"/>
        <v>15.070499999999996</v>
      </c>
      <c r="X1255">
        <f t="shared" si="137"/>
        <v>8</v>
      </c>
      <c r="Y1255" cm="1">
        <f t="array" ref="Y1255">_xlfn.IFS(H1255=0.1,1,H1255=0.15,1,H1255=0.05,1,H1255=0,0)</f>
        <v>1</v>
      </c>
      <c r="Z1255">
        <f t="shared" si="138"/>
        <v>17</v>
      </c>
      <c r="AA1255">
        <f t="shared" si="139"/>
        <v>2025</v>
      </c>
    </row>
    <row r="1256" spans="1:27" x14ac:dyDescent="0.3">
      <c r="A1256" s="2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62</v>
      </c>
      <c r="L1256" t="s">
        <v>35</v>
      </c>
      <c r="M1256">
        <v>0</v>
      </c>
      <c r="N1256" t="s">
        <v>2481</v>
      </c>
      <c r="O1256" t="s">
        <v>2482</v>
      </c>
      <c r="P1256">
        <v>32.01</v>
      </c>
      <c r="Q1256" s="2">
        <v>45342</v>
      </c>
      <c r="R1256" s="2">
        <v>45352</v>
      </c>
      <c r="S1256" t="s">
        <v>28</v>
      </c>
      <c r="T1256">
        <f t="shared" si="133"/>
        <v>1843.09</v>
      </c>
      <c r="U1256">
        <f t="shared" si="134"/>
        <v>0</v>
      </c>
      <c r="V1256">
        <f t="shared" si="135"/>
        <v>1811.08</v>
      </c>
      <c r="W1256">
        <f t="shared" si="136"/>
        <v>0</v>
      </c>
      <c r="X1256">
        <f t="shared" si="137"/>
        <v>10</v>
      </c>
      <c r="Y1256" cm="1">
        <f t="array" ref="Y1256">_xlfn.IFS(H1256=0.1,1,H1256=0.15,1,H1256=0.05,1,H1256=0,0)</f>
        <v>0</v>
      </c>
      <c r="Z1256">
        <f t="shared" si="138"/>
        <v>0</v>
      </c>
      <c r="AA1256">
        <f t="shared" si="139"/>
        <v>2024</v>
      </c>
    </row>
    <row r="1257" spans="1:27" x14ac:dyDescent="0.3">
      <c r="A1257" s="2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2483</v>
      </c>
      <c r="O1257" t="s">
        <v>871</v>
      </c>
      <c r="P1257">
        <v>39.72</v>
      </c>
      <c r="Q1257" s="2">
        <v>45286</v>
      </c>
      <c r="R1257" s="2">
        <v>45295</v>
      </c>
      <c r="S1257" t="s">
        <v>44</v>
      </c>
      <c r="T1257">
        <f t="shared" si="133"/>
        <v>974.87</v>
      </c>
      <c r="U1257">
        <f t="shared" si="134"/>
        <v>15</v>
      </c>
      <c r="V1257">
        <f t="shared" si="135"/>
        <v>1099</v>
      </c>
      <c r="W1257">
        <f t="shared" si="136"/>
        <v>164.85000000000002</v>
      </c>
      <c r="X1257">
        <f t="shared" si="137"/>
        <v>9</v>
      </c>
      <c r="Y1257" cm="1">
        <f t="array" ref="Y1257">_xlfn.IFS(H1257=0.1,1,H1257=0.15,1,H1257=0.05,1,H1257=0,0)</f>
        <v>1</v>
      </c>
      <c r="Z1257">
        <f t="shared" si="138"/>
        <v>7</v>
      </c>
      <c r="AA1257">
        <f t="shared" si="139"/>
        <v>2023</v>
      </c>
    </row>
    <row r="1258" spans="1:27" x14ac:dyDescent="0.3">
      <c r="A1258" s="2">
        <v>44992</v>
      </c>
      <c r="B1258" t="s">
        <v>39</v>
      </c>
      <c r="C1258" t="s">
        <v>132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68</v>
      </c>
      <c r="J1258">
        <v>5453.5140000000001</v>
      </c>
      <c r="K1258" t="s">
        <v>24</v>
      </c>
      <c r="L1258" t="s">
        <v>25</v>
      </c>
      <c r="M1258">
        <v>0</v>
      </c>
      <c r="N1258" t="s">
        <v>2484</v>
      </c>
      <c r="O1258" t="s">
        <v>2485</v>
      </c>
      <c r="P1258">
        <v>21.82</v>
      </c>
      <c r="Q1258" s="2">
        <v>44992</v>
      </c>
      <c r="R1258" s="2">
        <v>44997</v>
      </c>
      <c r="S1258" t="s">
        <v>44</v>
      </c>
      <c r="T1258">
        <f t="shared" si="133"/>
        <v>5475.3339999999998</v>
      </c>
      <c r="U1258">
        <f t="shared" si="134"/>
        <v>10</v>
      </c>
      <c r="V1258">
        <f t="shared" si="135"/>
        <v>6059.46</v>
      </c>
      <c r="W1258">
        <f t="shared" si="136"/>
        <v>605.94599999999991</v>
      </c>
      <c r="X1258">
        <f t="shared" si="137"/>
        <v>5</v>
      </c>
      <c r="Y1258" cm="1">
        <f t="array" ref="Y1258">_xlfn.IFS(H1258=0.1,1,H1258=0.15,1,H1258=0.05,1,H1258=0,0)</f>
        <v>1</v>
      </c>
      <c r="Z1258">
        <f t="shared" si="138"/>
        <v>11</v>
      </c>
      <c r="AA1258">
        <f t="shared" si="139"/>
        <v>2023</v>
      </c>
    </row>
    <row r="1259" spans="1:27" x14ac:dyDescent="0.3">
      <c r="A1259" s="2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733.76249999999993</v>
      </c>
      <c r="K1259" t="s">
        <v>65</v>
      </c>
      <c r="L1259" t="s">
        <v>35</v>
      </c>
      <c r="M1259">
        <v>0</v>
      </c>
      <c r="N1259" t="s">
        <v>2486</v>
      </c>
      <c r="O1259" t="s">
        <v>2487</v>
      </c>
      <c r="P1259">
        <v>28.3</v>
      </c>
      <c r="Q1259" s="2">
        <v>45548</v>
      </c>
      <c r="R1259" s="2">
        <v>45557</v>
      </c>
      <c r="S1259" t="s">
        <v>44</v>
      </c>
      <c r="T1259">
        <f t="shared" si="133"/>
        <v>762.06249999999989</v>
      </c>
      <c r="U1259">
        <f t="shared" si="134"/>
        <v>15</v>
      </c>
      <c r="V1259">
        <f t="shared" si="135"/>
        <v>863.25</v>
      </c>
      <c r="W1259">
        <f t="shared" si="136"/>
        <v>129.48750000000007</v>
      </c>
      <c r="X1259">
        <f t="shared" si="137"/>
        <v>9</v>
      </c>
      <c r="Y1259" cm="1">
        <f t="array" ref="Y1259">_xlfn.IFS(H1259=0.1,1,H1259=0.15,1,H1259=0.05,1,H1259=0,0)</f>
        <v>1</v>
      </c>
      <c r="Z1259">
        <f t="shared" si="138"/>
        <v>5</v>
      </c>
      <c r="AA1259">
        <f t="shared" si="139"/>
        <v>2024</v>
      </c>
    </row>
    <row r="1260" spans="1:27" x14ac:dyDescent="0.3">
      <c r="A1260" s="2">
        <v>45293</v>
      </c>
      <c r="B1260" t="s">
        <v>19</v>
      </c>
      <c r="C1260" t="s">
        <v>81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2488</v>
      </c>
      <c r="O1260" t="s">
        <v>2489</v>
      </c>
      <c r="P1260">
        <v>29.64</v>
      </c>
      <c r="Q1260" s="2">
        <v>45293</v>
      </c>
      <c r="R1260" s="2">
        <v>45303</v>
      </c>
      <c r="S1260" t="s">
        <v>28</v>
      </c>
      <c r="T1260">
        <f t="shared" si="133"/>
        <v>2355.44</v>
      </c>
      <c r="U1260">
        <f t="shared" si="134"/>
        <v>0</v>
      </c>
      <c r="V1260">
        <f t="shared" si="135"/>
        <v>2324.8000000000002</v>
      </c>
      <c r="W1260">
        <f t="shared" si="136"/>
        <v>0</v>
      </c>
      <c r="X1260">
        <f t="shared" si="137"/>
        <v>10</v>
      </c>
      <c r="Y1260" cm="1">
        <f t="array" ref="Y1260">_xlfn.IFS(H1260=0.1,1,H1260=0.15,1,H1260=0.05,1,H1260=0,0)</f>
        <v>0</v>
      </c>
      <c r="Z1260">
        <f t="shared" si="138"/>
        <v>0</v>
      </c>
      <c r="AA1260">
        <f t="shared" si="139"/>
        <v>2024</v>
      </c>
    </row>
    <row r="1261" spans="1:27" x14ac:dyDescent="0.3">
      <c r="A1261" s="2">
        <v>45696</v>
      </c>
      <c r="B1261" t="s">
        <v>29</v>
      </c>
      <c r="C1261" t="s">
        <v>132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2490</v>
      </c>
      <c r="O1261" t="s">
        <v>138</v>
      </c>
      <c r="P1261">
        <v>20.58</v>
      </c>
      <c r="Q1261" s="2">
        <v>45696</v>
      </c>
      <c r="R1261" s="2">
        <v>45706</v>
      </c>
      <c r="S1261" t="s">
        <v>38</v>
      </c>
      <c r="T1261">
        <f t="shared" si="133"/>
        <v>628</v>
      </c>
      <c r="U1261">
        <f t="shared" si="134"/>
        <v>10</v>
      </c>
      <c r="V1261">
        <f t="shared" si="135"/>
        <v>673.8</v>
      </c>
      <c r="W1261">
        <f t="shared" si="136"/>
        <v>67.38</v>
      </c>
      <c r="X1261">
        <f t="shared" si="137"/>
        <v>10</v>
      </c>
      <c r="Y1261" cm="1">
        <f t="array" ref="Y1261">_xlfn.IFS(H1261=0.1,1,H1261=0.15,1,H1261=0.05,1,H1261=0,0)</f>
        <v>1</v>
      </c>
      <c r="Z1261">
        <f t="shared" si="138"/>
        <v>10</v>
      </c>
      <c r="AA1261">
        <f t="shared" si="139"/>
        <v>2025</v>
      </c>
    </row>
    <row r="1262" spans="1:27" x14ac:dyDescent="0.3">
      <c r="A1262" s="2">
        <v>45720</v>
      </c>
      <c r="B1262" t="s">
        <v>29</v>
      </c>
      <c r="C1262" t="s">
        <v>132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65</v>
      </c>
      <c r="L1262" t="s">
        <v>35</v>
      </c>
      <c r="M1262">
        <v>0</v>
      </c>
      <c r="N1262" t="s">
        <v>2491</v>
      </c>
      <c r="O1262" t="s">
        <v>2492</v>
      </c>
      <c r="P1262">
        <v>19.63</v>
      </c>
      <c r="Q1262" s="2">
        <v>45720</v>
      </c>
      <c r="R1262" s="2">
        <v>45728</v>
      </c>
      <c r="S1262" t="s">
        <v>38</v>
      </c>
      <c r="T1262">
        <f t="shared" si="133"/>
        <v>2136.58</v>
      </c>
      <c r="U1262">
        <f t="shared" si="134"/>
        <v>0</v>
      </c>
      <c r="V1262">
        <f t="shared" si="135"/>
        <v>2116.9499999999998</v>
      </c>
      <c r="W1262">
        <f t="shared" si="136"/>
        <v>0</v>
      </c>
      <c r="X1262">
        <f t="shared" si="137"/>
        <v>8</v>
      </c>
      <c r="Y1262" cm="1">
        <f t="array" ref="Y1262">_xlfn.IFS(H1262=0.1,1,H1262=0.15,1,H1262=0.05,1,H1262=0,0)</f>
        <v>0</v>
      </c>
      <c r="Z1262">
        <f t="shared" si="138"/>
        <v>0</v>
      </c>
      <c r="AA1262">
        <f t="shared" si="139"/>
        <v>2025</v>
      </c>
    </row>
    <row r="1263" spans="1:27" x14ac:dyDescent="0.3">
      <c r="A1263" s="2">
        <v>45363</v>
      </c>
      <c r="B1263" t="s">
        <v>45</v>
      </c>
      <c r="C1263" t="s">
        <v>81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2493</v>
      </c>
      <c r="O1263" t="s">
        <v>2494</v>
      </c>
      <c r="P1263">
        <v>22.68</v>
      </c>
      <c r="Q1263" s="2">
        <v>45363</v>
      </c>
      <c r="R1263" s="2">
        <v>45372</v>
      </c>
      <c r="S1263" t="s">
        <v>50</v>
      </c>
      <c r="T1263">
        <f t="shared" si="133"/>
        <v>530.55949999999996</v>
      </c>
      <c r="U1263">
        <f t="shared" si="134"/>
        <v>5</v>
      </c>
      <c r="V1263">
        <f t="shared" si="135"/>
        <v>534.61</v>
      </c>
      <c r="W1263">
        <f t="shared" si="136"/>
        <v>26.730500000000006</v>
      </c>
      <c r="X1263">
        <f t="shared" si="137"/>
        <v>9</v>
      </c>
      <c r="Y1263" cm="1">
        <f t="array" ref="Y1263">_xlfn.IFS(H1263=0.1,1,H1263=0.15,1,H1263=0.05,1,H1263=0,0)</f>
        <v>1</v>
      </c>
      <c r="Z1263">
        <f t="shared" si="138"/>
        <v>1</v>
      </c>
      <c r="AA1263">
        <f t="shared" si="139"/>
        <v>2024</v>
      </c>
    </row>
    <row r="1264" spans="1:27" x14ac:dyDescent="0.3">
      <c r="A1264" s="2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2495</v>
      </c>
      <c r="O1264" t="s">
        <v>2496</v>
      </c>
      <c r="P1264">
        <v>22.81</v>
      </c>
      <c r="Q1264" s="2">
        <v>45476</v>
      </c>
      <c r="R1264" s="2">
        <v>45480</v>
      </c>
      <c r="S1264" t="s">
        <v>28</v>
      </c>
      <c r="T1264">
        <f t="shared" si="133"/>
        <v>4811.152</v>
      </c>
      <c r="U1264">
        <f t="shared" si="134"/>
        <v>5</v>
      </c>
      <c r="V1264">
        <f t="shared" si="135"/>
        <v>5040.3599999999997</v>
      </c>
      <c r="W1264">
        <f t="shared" si="136"/>
        <v>252.01800000000003</v>
      </c>
      <c r="X1264">
        <f t="shared" si="137"/>
        <v>4</v>
      </c>
      <c r="Y1264" cm="1">
        <f t="array" ref="Y1264">_xlfn.IFS(H1264=0.1,1,H1264=0.15,1,H1264=0.05,1,H1264=0,0)</f>
        <v>1</v>
      </c>
      <c r="Z1264">
        <f t="shared" si="138"/>
        <v>9</v>
      </c>
      <c r="AA1264">
        <f t="shared" si="139"/>
        <v>2024</v>
      </c>
    </row>
    <row r="1265" spans="1:27" x14ac:dyDescent="0.3">
      <c r="A1265" s="2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65</v>
      </c>
      <c r="L1265" t="s">
        <v>35</v>
      </c>
      <c r="M1265">
        <v>0</v>
      </c>
      <c r="N1265" t="s">
        <v>2497</v>
      </c>
      <c r="O1265" t="s">
        <v>2498</v>
      </c>
      <c r="P1265">
        <v>18.260000000000002</v>
      </c>
      <c r="Q1265" s="2">
        <v>45662</v>
      </c>
      <c r="R1265" s="2">
        <v>45670</v>
      </c>
      <c r="S1265" t="s">
        <v>44</v>
      </c>
      <c r="T1265">
        <f t="shared" si="133"/>
        <v>2000.5640000000001</v>
      </c>
      <c r="U1265">
        <f t="shared" si="134"/>
        <v>10</v>
      </c>
      <c r="V1265">
        <f t="shared" si="135"/>
        <v>2202.56</v>
      </c>
      <c r="W1265">
        <f t="shared" si="136"/>
        <v>220.25599999999986</v>
      </c>
      <c r="X1265">
        <f t="shared" si="137"/>
        <v>8</v>
      </c>
      <c r="Y1265" cm="1">
        <f t="array" ref="Y1265">_xlfn.IFS(H1265=0.1,1,H1265=0.15,1,H1265=0.05,1,H1265=0,0)</f>
        <v>1</v>
      </c>
      <c r="Z1265">
        <f t="shared" si="138"/>
        <v>8</v>
      </c>
      <c r="AA1265">
        <f t="shared" si="139"/>
        <v>2025</v>
      </c>
    </row>
    <row r="1266" spans="1:27" x14ac:dyDescent="0.3">
      <c r="A1266" s="2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68</v>
      </c>
      <c r="J1266">
        <v>301.33049999999997</v>
      </c>
      <c r="K1266" t="s">
        <v>62</v>
      </c>
      <c r="L1266" t="s">
        <v>25</v>
      </c>
      <c r="M1266">
        <v>1</v>
      </c>
      <c r="N1266" t="s">
        <v>2499</v>
      </c>
      <c r="O1266" t="s">
        <v>2500</v>
      </c>
      <c r="P1266">
        <v>12.12</v>
      </c>
      <c r="Q1266" s="2">
        <v>45372</v>
      </c>
      <c r="R1266" s="2">
        <v>45379</v>
      </c>
      <c r="S1266" t="s">
        <v>28</v>
      </c>
      <c r="T1266">
        <f t="shared" si="133"/>
        <v>314.45049999999998</v>
      </c>
      <c r="U1266">
        <f t="shared" si="134"/>
        <v>5</v>
      </c>
      <c r="V1266">
        <f t="shared" si="135"/>
        <v>317.19</v>
      </c>
      <c r="W1266">
        <f t="shared" si="136"/>
        <v>15.859500000000025</v>
      </c>
      <c r="X1266">
        <f t="shared" si="137"/>
        <v>7</v>
      </c>
      <c r="Y1266" cm="1">
        <f t="array" ref="Y1266">_xlfn.IFS(H1266=0.1,1,H1266=0.15,1,H1266=0.05,1,H1266=0,0)</f>
        <v>1</v>
      </c>
      <c r="Z1266">
        <f t="shared" si="138"/>
        <v>3</v>
      </c>
      <c r="AA1266">
        <f t="shared" si="139"/>
        <v>2024</v>
      </c>
    </row>
    <row r="1267" spans="1:27" x14ac:dyDescent="0.3">
      <c r="A1267" s="2">
        <v>45744</v>
      </c>
      <c r="B1267" t="s">
        <v>45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7678.9349999999986</v>
      </c>
      <c r="K1267" t="s">
        <v>34</v>
      </c>
      <c r="L1267" t="s">
        <v>59</v>
      </c>
      <c r="M1267">
        <v>0</v>
      </c>
      <c r="N1267" t="s">
        <v>2501</v>
      </c>
      <c r="O1267" t="s">
        <v>2502</v>
      </c>
      <c r="P1267">
        <v>8.5399999999999991</v>
      </c>
      <c r="Q1267" s="2">
        <v>45744</v>
      </c>
      <c r="R1267" s="2">
        <v>45750</v>
      </c>
      <c r="S1267" t="s">
        <v>50</v>
      </c>
      <c r="T1267">
        <f t="shared" si="133"/>
        <v>7687.4749999999985</v>
      </c>
      <c r="U1267">
        <f t="shared" si="134"/>
        <v>10</v>
      </c>
      <c r="V1267">
        <f t="shared" si="135"/>
        <v>8532.15</v>
      </c>
      <c r="W1267">
        <f t="shared" si="136"/>
        <v>853.21500000000106</v>
      </c>
      <c r="X1267">
        <f t="shared" si="137"/>
        <v>6</v>
      </c>
      <c r="Y1267" cm="1">
        <f t="array" ref="Y1267">_xlfn.IFS(H1267=0.1,1,H1267=0.15,1,H1267=0.05,1,H1267=0,0)</f>
        <v>1</v>
      </c>
      <c r="Z1267">
        <f t="shared" si="138"/>
        <v>15</v>
      </c>
      <c r="AA1267">
        <f t="shared" si="139"/>
        <v>2025</v>
      </c>
    </row>
    <row r="1268" spans="1:27" x14ac:dyDescent="0.3">
      <c r="A1268" s="2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68</v>
      </c>
      <c r="J1268">
        <v>3427.02</v>
      </c>
      <c r="K1268" t="s">
        <v>34</v>
      </c>
      <c r="L1268" t="s">
        <v>35</v>
      </c>
      <c r="M1268">
        <v>0</v>
      </c>
      <c r="N1268" t="s">
        <v>2503</v>
      </c>
      <c r="O1268" t="s">
        <v>2504</v>
      </c>
      <c r="P1268">
        <v>49.93</v>
      </c>
      <c r="Q1268" s="2">
        <v>45760</v>
      </c>
      <c r="R1268" s="2">
        <v>45765</v>
      </c>
      <c r="S1268" t="s">
        <v>50</v>
      </c>
      <c r="T1268">
        <f t="shared" si="133"/>
        <v>3476.95</v>
      </c>
      <c r="U1268">
        <f t="shared" si="134"/>
        <v>10</v>
      </c>
      <c r="V1268">
        <f t="shared" si="135"/>
        <v>3807.7999999999997</v>
      </c>
      <c r="W1268">
        <f t="shared" si="136"/>
        <v>380.77999999999975</v>
      </c>
      <c r="X1268">
        <f t="shared" si="137"/>
        <v>5</v>
      </c>
      <c r="Y1268" cm="1">
        <f t="array" ref="Y1268">_xlfn.IFS(H1268=0.1,1,H1268=0.15,1,H1268=0.05,1,H1268=0,0)</f>
        <v>1</v>
      </c>
      <c r="Z1268">
        <f t="shared" si="138"/>
        <v>20</v>
      </c>
      <c r="AA1268">
        <f t="shared" si="139"/>
        <v>2025</v>
      </c>
    </row>
    <row r="1269" spans="1:27" x14ac:dyDescent="0.3">
      <c r="A1269" s="2">
        <v>45412</v>
      </c>
      <c r="B1269" t="s">
        <v>71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68</v>
      </c>
      <c r="J1269">
        <v>7822.6894999999986</v>
      </c>
      <c r="K1269" t="s">
        <v>24</v>
      </c>
      <c r="L1269" t="s">
        <v>41</v>
      </c>
      <c r="M1269">
        <v>0</v>
      </c>
      <c r="N1269" t="s">
        <v>2505</v>
      </c>
      <c r="O1269" t="s">
        <v>2506</v>
      </c>
      <c r="P1269">
        <v>7.59</v>
      </c>
      <c r="Q1269" s="2">
        <v>45412</v>
      </c>
      <c r="R1269" s="2">
        <v>45421</v>
      </c>
      <c r="S1269" t="s">
        <v>74</v>
      </c>
      <c r="T1269">
        <f t="shared" si="133"/>
        <v>7830.2794999999987</v>
      </c>
      <c r="U1269">
        <f t="shared" si="134"/>
        <v>5</v>
      </c>
      <c r="V1269">
        <f t="shared" si="135"/>
        <v>8234.41</v>
      </c>
      <c r="W1269">
        <f t="shared" si="136"/>
        <v>411.72050000000127</v>
      </c>
      <c r="X1269">
        <f t="shared" si="137"/>
        <v>9</v>
      </c>
      <c r="Y1269" cm="1">
        <f t="array" ref="Y1269">_xlfn.IFS(H1269=0.1,1,H1269=0.15,1,H1269=0.05,1,H1269=0,0)</f>
        <v>1</v>
      </c>
      <c r="Z1269">
        <f t="shared" si="138"/>
        <v>19</v>
      </c>
      <c r="AA1269">
        <f t="shared" si="139"/>
        <v>2024</v>
      </c>
    </row>
    <row r="1270" spans="1:27" x14ac:dyDescent="0.3">
      <c r="A1270" s="2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62</v>
      </c>
      <c r="L1270" t="s">
        <v>41</v>
      </c>
      <c r="M1270">
        <v>0</v>
      </c>
      <c r="N1270" t="s">
        <v>2507</v>
      </c>
      <c r="O1270" t="s">
        <v>2508</v>
      </c>
      <c r="P1270">
        <v>48.46</v>
      </c>
      <c r="Q1270" s="2">
        <v>45703</v>
      </c>
      <c r="R1270" s="2">
        <v>45707</v>
      </c>
      <c r="S1270" t="s">
        <v>38</v>
      </c>
      <c r="T1270">
        <f t="shared" si="133"/>
        <v>127.27199999999999</v>
      </c>
      <c r="U1270">
        <f t="shared" si="134"/>
        <v>15</v>
      </c>
      <c r="V1270">
        <f t="shared" si="135"/>
        <v>92.72</v>
      </c>
      <c r="W1270">
        <f t="shared" si="136"/>
        <v>13.908000000000001</v>
      </c>
      <c r="X1270">
        <f t="shared" si="137"/>
        <v>4</v>
      </c>
      <c r="Y1270" cm="1">
        <f t="array" ref="Y1270">_xlfn.IFS(H1270=0.1,1,H1270=0.15,1,H1270=0.05,1,H1270=0,0)</f>
        <v>1</v>
      </c>
      <c r="Z1270">
        <f t="shared" si="138"/>
        <v>1</v>
      </c>
      <c r="AA1270">
        <f t="shared" si="139"/>
        <v>2025</v>
      </c>
    </row>
    <row r="1271" spans="1:27" x14ac:dyDescent="0.3">
      <c r="A1271" s="2">
        <v>45706</v>
      </c>
      <c r="B1271" t="s">
        <v>71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2509</v>
      </c>
      <c r="O1271" t="s">
        <v>2510</v>
      </c>
      <c r="P1271">
        <v>36.28</v>
      </c>
      <c r="Q1271" s="2">
        <v>45706</v>
      </c>
      <c r="R1271" s="2">
        <v>45711</v>
      </c>
      <c r="S1271" t="s">
        <v>74</v>
      </c>
      <c r="T1271">
        <f t="shared" si="133"/>
        <v>273.23199999999997</v>
      </c>
      <c r="U1271">
        <f t="shared" si="134"/>
        <v>10</v>
      </c>
      <c r="V1271">
        <f t="shared" si="135"/>
        <v>263.27999999999997</v>
      </c>
      <c r="W1271">
        <f t="shared" si="136"/>
        <v>26.327999999999975</v>
      </c>
      <c r="X1271">
        <f t="shared" si="137"/>
        <v>5</v>
      </c>
      <c r="Y1271" cm="1">
        <f t="array" ref="Y1271">_xlfn.IFS(H1271=0.1,1,H1271=0.15,1,H1271=0.05,1,H1271=0,0)</f>
        <v>1</v>
      </c>
      <c r="Z1271">
        <f t="shared" si="138"/>
        <v>1</v>
      </c>
      <c r="AA1271">
        <f t="shared" si="139"/>
        <v>2025</v>
      </c>
    </row>
    <row r="1272" spans="1:27" x14ac:dyDescent="0.3">
      <c r="A1272" s="2">
        <v>45177</v>
      </c>
      <c r="B1272" t="s">
        <v>71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L1272" t="s">
        <v>59</v>
      </c>
      <c r="M1272">
        <v>0</v>
      </c>
      <c r="N1272" t="s">
        <v>2511</v>
      </c>
      <c r="O1272" t="s">
        <v>2512</v>
      </c>
      <c r="P1272">
        <v>29.19</v>
      </c>
      <c r="Q1272" s="2">
        <v>45177</v>
      </c>
      <c r="R1272" s="2">
        <v>45179</v>
      </c>
      <c r="S1272" t="s">
        <v>74</v>
      </c>
      <c r="T1272">
        <f t="shared" si="133"/>
        <v>3973.68</v>
      </c>
      <c r="U1272">
        <f t="shared" si="134"/>
        <v>0</v>
      </c>
      <c r="V1272">
        <f t="shared" si="135"/>
        <v>3944.49</v>
      </c>
      <c r="W1272">
        <f t="shared" si="136"/>
        <v>0</v>
      </c>
      <c r="X1272">
        <f t="shared" si="137"/>
        <v>2</v>
      </c>
      <c r="Y1272" cm="1">
        <f t="array" ref="Y1272">_xlfn.IFS(H1272=0.1,1,H1272=0.15,1,H1272=0.05,1,H1272=0,0)</f>
        <v>0</v>
      </c>
      <c r="Z1272">
        <f t="shared" si="138"/>
        <v>0</v>
      </c>
      <c r="AA1272">
        <f t="shared" si="139"/>
        <v>2023</v>
      </c>
    </row>
    <row r="1273" spans="1:27" x14ac:dyDescent="0.3">
      <c r="A1273" s="2">
        <v>45326</v>
      </c>
      <c r="B1273" t="s">
        <v>45</v>
      </c>
      <c r="C1273" t="s">
        <v>81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65</v>
      </c>
      <c r="L1273" t="s">
        <v>41</v>
      </c>
      <c r="M1273">
        <v>0</v>
      </c>
      <c r="N1273" t="s">
        <v>2513</v>
      </c>
      <c r="O1273" t="s">
        <v>2514</v>
      </c>
      <c r="P1273">
        <v>42.91</v>
      </c>
      <c r="Q1273" s="2">
        <v>45326</v>
      </c>
      <c r="R1273" s="2">
        <v>45328</v>
      </c>
      <c r="S1273" t="s">
        <v>50</v>
      </c>
      <c r="T1273">
        <f t="shared" si="133"/>
        <v>10762.45</v>
      </c>
      <c r="U1273">
        <f t="shared" si="134"/>
        <v>0</v>
      </c>
      <c r="V1273">
        <f t="shared" si="135"/>
        <v>10719.539999999999</v>
      </c>
      <c r="W1273">
        <f t="shared" si="136"/>
        <v>0</v>
      </c>
      <c r="X1273">
        <f t="shared" si="137"/>
        <v>2</v>
      </c>
      <c r="Y1273" cm="1">
        <f t="array" ref="Y1273">_xlfn.IFS(H1273=0.1,1,H1273=0.15,1,H1273=0.05,1,H1273=0,0)</f>
        <v>0</v>
      </c>
      <c r="Z1273">
        <f t="shared" si="138"/>
        <v>0</v>
      </c>
      <c r="AA1273">
        <f t="shared" si="139"/>
        <v>2024</v>
      </c>
    </row>
    <row r="1274" spans="1:27" x14ac:dyDescent="0.3">
      <c r="A1274" s="2">
        <v>45621</v>
      </c>
      <c r="B1274" t="s">
        <v>39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2515</v>
      </c>
      <c r="O1274" t="s">
        <v>2516</v>
      </c>
      <c r="P1274">
        <v>12.07</v>
      </c>
      <c r="Q1274" s="2">
        <v>45621</v>
      </c>
      <c r="R1274" s="2">
        <v>45631</v>
      </c>
      <c r="S1274" t="s">
        <v>44</v>
      </c>
      <c r="T1274">
        <f t="shared" si="133"/>
        <v>6846.4780000000001</v>
      </c>
      <c r="U1274">
        <f t="shared" si="134"/>
        <v>15</v>
      </c>
      <c r="V1274">
        <f t="shared" si="135"/>
        <v>8040.4800000000005</v>
      </c>
      <c r="W1274">
        <f t="shared" si="136"/>
        <v>1206.0720000000001</v>
      </c>
      <c r="X1274">
        <f t="shared" si="137"/>
        <v>10</v>
      </c>
      <c r="Y1274" cm="1">
        <f t="array" ref="Y1274">_xlfn.IFS(H1274=0.1,1,H1274=0.15,1,H1274=0.05,1,H1274=0,0)</f>
        <v>1</v>
      </c>
      <c r="Z1274">
        <f t="shared" si="138"/>
        <v>14</v>
      </c>
      <c r="AA1274">
        <f t="shared" si="139"/>
        <v>2024</v>
      </c>
    </row>
    <row r="1275" spans="1:27" x14ac:dyDescent="0.3">
      <c r="A1275" s="2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65</v>
      </c>
      <c r="L1275" t="s">
        <v>35</v>
      </c>
      <c r="M1275">
        <v>0</v>
      </c>
      <c r="N1275" t="s">
        <v>2517</v>
      </c>
      <c r="O1275" t="s">
        <v>2518</v>
      </c>
      <c r="P1275">
        <v>5.41</v>
      </c>
      <c r="Q1275" s="2">
        <v>45656</v>
      </c>
      <c r="R1275" s="2">
        <v>45659</v>
      </c>
      <c r="S1275" t="s">
        <v>44</v>
      </c>
      <c r="T1275">
        <f t="shared" si="133"/>
        <v>7999.75</v>
      </c>
      <c r="U1275">
        <f t="shared" si="134"/>
        <v>0</v>
      </c>
      <c r="V1275">
        <f t="shared" si="135"/>
        <v>7994.34</v>
      </c>
      <c r="W1275">
        <f t="shared" si="136"/>
        <v>0</v>
      </c>
      <c r="X1275">
        <f t="shared" si="137"/>
        <v>3</v>
      </c>
      <c r="Y1275" cm="1">
        <f t="array" ref="Y1275">_xlfn.IFS(H1275=0.1,1,H1275=0.15,1,H1275=0.05,1,H1275=0,0)</f>
        <v>0</v>
      </c>
      <c r="Z1275">
        <f t="shared" si="138"/>
        <v>0</v>
      </c>
      <c r="AA1275">
        <f t="shared" si="139"/>
        <v>2024</v>
      </c>
    </row>
    <row r="1276" spans="1:27" x14ac:dyDescent="0.3">
      <c r="A1276" s="2">
        <v>45174</v>
      </c>
      <c r="B1276" t="s">
        <v>71</v>
      </c>
      <c r="C1276" t="s">
        <v>81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7378.1370000000006</v>
      </c>
      <c r="K1276" t="s">
        <v>34</v>
      </c>
      <c r="L1276" t="s">
        <v>41</v>
      </c>
      <c r="M1276">
        <v>0</v>
      </c>
      <c r="N1276" t="s">
        <v>2519</v>
      </c>
      <c r="O1276" t="s">
        <v>2520</v>
      </c>
      <c r="P1276">
        <v>49.23</v>
      </c>
      <c r="Q1276" s="2">
        <v>45174</v>
      </c>
      <c r="R1276" s="2">
        <v>45179</v>
      </c>
      <c r="S1276" t="s">
        <v>74</v>
      </c>
      <c r="T1276">
        <f t="shared" si="133"/>
        <v>7427.3670000000002</v>
      </c>
      <c r="U1276">
        <f t="shared" si="134"/>
        <v>10</v>
      </c>
      <c r="V1276">
        <f t="shared" si="135"/>
        <v>8197.93</v>
      </c>
      <c r="W1276">
        <f t="shared" si="136"/>
        <v>819.79299999999967</v>
      </c>
      <c r="X1276">
        <f t="shared" si="137"/>
        <v>5</v>
      </c>
      <c r="Y1276" cm="1">
        <f t="array" ref="Y1276">_xlfn.IFS(H1276=0.1,1,H1276=0.15,1,H1276=0.05,1,H1276=0,0)</f>
        <v>1</v>
      </c>
      <c r="Z1276">
        <f t="shared" si="138"/>
        <v>19</v>
      </c>
      <c r="AA1276">
        <f t="shared" si="139"/>
        <v>2023</v>
      </c>
    </row>
    <row r="1277" spans="1:27" x14ac:dyDescent="0.3">
      <c r="A1277" s="2">
        <v>45139</v>
      </c>
      <c r="B1277" t="s">
        <v>71</v>
      </c>
      <c r="C1277" t="s">
        <v>132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62</v>
      </c>
      <c r="L1277" t="s">
        <v>35</v>
      </c>
      <c r="M1277">
        <v>0</v>
      </c>
      <c r="N1277" t="s">
        <v>2521</v>
      </c>
      <c r="O1277" t="s">
        <v>2522</v>
      </c>
      <c r="P1277">
        <v>32.04</v>
      </c>
      <c r="Q1277" s="2">
        <v>45139</v>
      </c>
      <c r="R1277" s="2">
        <v>45149</v>
      </c>
      <c r="S1277" t="s">
        <v>74</v>
      </c>
      <c r="T1277">
        <f t="shared" si="133"/>
        <v>1314.35</v>
      </c>
      <c r="U1277">
        <f t="shared" si="134"/>
        <v>0</v>
      </c>
      <c r="V1277">
        <f t="shared" si="135"/>
        <v>1282.31</v>
      </c>
      <c r="W1277">
        <f t="shared" si="136"/>
        <v>0</v>
      </c>
      <c r="X1277">
        <f t="shared" si="137"/>
        <v>10</v>
      </c>
      <c r="Y1277" cm="1">
        <f t="array" ref="Y1277">_xlfn.IFS(H1277=0.1,1,H1277=0.15,1,H1277=0.05,1,H1277=0,0)</f>
        <v>0</v>
      </c>
      <c r="Z1277">
        <f t="shared" si="138"/>
        <v>0</v>
      </c>
      <c r="AA1277">
        <f t="shared" si="139"/>
        <v>2023</v>
      </c>
    </row>
    <row r="1278" spans="1:27" x14ac:dyDescent="0.3">
      <c r="A1278" s="2">
        <v>44932</v>
      </c>
      <c r="B1278" t="s">
        <v>45</v>
      </c>
      <c r="C1278" t="s">
        <v>81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2523</v>
      </c>
      <c r="O1278" t="s">
        <v>2524</v>
      </c>
      <c r="P1278">
        <v>30.12</v>
      </c>
      <c r="Q1278" s="2">
        <v>44932</v>
      </c>
      <c r="R1278" s="2">
        <v>44934</v>
      </c>
      <c r="S1278" t="s">
        <v>50</v>
      </c>
      <c r="T1278">
        <f t="shared" si="133"/>
        <v>270.1345</v>
      </c>
      <c r="U1278">
        <f t="shared" si="134"/>
        <v>15</v>
      </c>
      <c r="V1278">
        <f t="shared" si="135"/>
        <v>282.37</v>
      </c>
      <c r="W1278">
        <f t="shared" si="136"/>
        <v>42.355500000000006</v>
      </c>
      <c r="X1278">
        <f t="shared" si="137"/>
        <v>2</v>
      </c>
      <c r="Y1278" cm="1">
        <f t="array" ref="Y1278">_xlfn.IFS(H1278=0.1,1,H1278=0.15,1,H1278=0.05,1,H1278=0,0)</f>
        <v>1</v>
      </c>
      <c r="Z1278">
        <f t="shared" si="138"/>
        <v>11</v>
      </c>
      <c r="AA1278">
        <f t="shared" si="139"/>
        <v>2023</v>
      </c>
    </row>
    <row r="1279" spans="1:27" x14ac:dyDescent="0.3">
      <c r="A1279" s="2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2525</v>
      </c>
      <c r="O1279" t="s">
        <v>2526</v>
      </c>
      <c r="P1279">
        <v>48.57</v>
      </c>
      <c r="Q1279" s="2">
        <v>45779</v>
      </c>
      <c r="R1279" s="2">
        <v>45783</v>
      </c>
      <c r="S1279" t="s">
        <v>50</v>
      </c>
      <c r="T1279">
        <f t="shared" si="133"/>
        <v>1523.33</v>
      </c>
      <c r="U1279">
        <f t="shared" si="134"/>
        <v>0</v>
      </c>
      <c r="V1279">
        <f t="shared" si="135"/>
        <v>1474.76</v>
      </c>
      <c r="W1279">
        <f t="shared" si="136"/>
        <v>0</v>
      </c>
      <c r="X1279">
        <f t="shared" si="137"/>
        <v>4</v>
      </c>
      <c r="Y1279" cm="1">
        <f t="array" ref="Y1279">_xlfn.IFS(H1279=0.1,1,H1279=0.15,1,H1279=0.05,1,H1279=0,0)</f>
        <v>0</v>
      </c>
      <c r="Z1279">
        <f t="shared" si="138"/>
        <v>0</v>
      </c>
      <c r="AA1279">
        <f t="shared" si="139"/>
        <v>2025</v>
      </c>
    </row>
    <row r="1280" spans="1:27" x14ac:dyDescent="0.3">
      <c r="A1280" s="2">
        <v>45281</v>
      </c>
      <c r="B1280" t="s">
        <v>71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L1280" t="s">
        <v>59</v>
      </c>
      <c r="M1280">
        <v>0</v>
      </c>
      <c r="N1280" t="s">
        <v>2527</v>
      </c>
      <c r="O1280" t="s">
        <v>2528</v>
      </c>
      <c r="P1280">
        <v>35.520000000000003</v>
      </c>
      <c r="Q1280" s="2">
        <v>45281</v>
      </c>
      <c r="R1280" s="2">
        <v>45288</v>
      </c>
      <c r="S1280" t="s">
        <v>74</v>
      </c>
      <c r="T1280">
        <f t="shared" si="133"/>
        <v>1744.6365000000001</v>
      </c>
      <c r="U1280">
        <f t="shared" si="134"/>
        <v>5</v>
      </c>
      <c r="V1280">
        <f t="shared" si="135"/>
        <v>1799.07</v>
      </c>
      <c r="W1280">
        <f t="shared" si="136"/>
        <v>89.953499999999849</v>
      </c>
      <c r="X1280">
        <f t="shared" si="137"/>
        <v>7</v>
      </c>
      <c r="Y1280" cm="1">
        <f t="array" ref="Y1280">_xlfn.IFS(H1280=0.1,1,H1280=0.15,1,H1280=0.05,1,H1280=0,0)</f>
        <v>1</v>
      </c>
      <c r="Z1280">
        <f t="shared" si="138"/>
        <v>7</v>
      </c>
      <c r="AA1280">
        <f t="shared" si="139"/>
        <v>2023</v>
      </c>
    </row>
    <row r="1281" spans="1:27" x14ac:dyDescent="0.3">
      <c r="A1281" s="2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2529</v>
      </c>
      <c r="O1281" t="s">
        <v>2530</v>
      </c>
      <c r="P1281">
        <v>16.079999999999998</v>
      </c>
      <c r="Q1281" s="2">
        <v>45545</v>
      </c>
      <c r="R1281" s="2">
        <v>45549</v>
      </c>
      <c r="S1281" t="s">
        <v>28</v>
      </c>
      <c r="T1281">
        <f t="shared" si="133"/>
        <v>1213.6399999999999</v>
      </c>
      <c r="U1281">
        <f t="shared" si="134"/>
        <v>0</v>
      </c>
      <c r="V1281">
        <f t="shared" si="135"/>
        <v>1197.5600000000002</v>
      </c>
      <c r="W1281">
        <f t="shared" si="136"/>
        <v>0</v>
      </c>
      <c r="X1281">
        <f t="shared" si="137"/>
        <v>4</v>
      </c>
      <c r="Y1281" cm="1">
        <f t="array" ref="Y1281">_xlfn.IFS(H1281=0.1,1,H1281=0.15,1,H1281=0.05,1,H1281=0,0)</f>
        <v>0</v>
      </c>
      <c r="Z1281">
        <f t="shared" si="138"/>
        <v>0</v>
      </c>
      <c r="AA1281">
        <f t="shared" si="139"/>
        <v>2024</v>
      </c>
    </row>
    <row r="1282" spans="1:27" x14ac:dyDescent="0.3">
      <c r="A1282" s="2">
        <v>45387</v>
      </c>
      <c r="B1282" t="s">
        <v>45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2531</v>
      </c>
      <c r="O1282" t="s">
        <v>2532</v>
      </c>
      <c r="P1282">
        <v>8.48</v>
      </c>
      <c r="Q1282" s="2">
        <v>45387</v>
      </c>
      <c r="R1282" s="2">
        <v>45392</v>
      </c>
      <c r="S1282" t="s">
        <v>50</v>
      </c>
      <c r="T1282">
        <f t="shared" si="133"/>
        <v>2055.62</v>
      </c>
      <c r="U1282">
        <f t="shared" si="134"/>
        <v>15</v>
      </c>
      <c r="V1282">
        <f t="shared" si="135"/>
        <v>2408.4</v>
      </c>
      <c r="W1282">
        <f t="shared" si="136"/>
        <v>361.26</v>
      </c>
      <c r="X1282">
        <f t="shared" si="137"/>
        <v>5</v>
      </c>
      <c r="Y1282" cm="1">
        <f t="array" ref="Y1282">_xlfn.IFS(H1282=0.1,1,H1282=0.15,1,H1282=0.05,1,H1282=0,0)</f>
        <v>1</v>
      </c>
      <c r="Z1282">
        <f t="shared" si="138"/>
        <v>9</v>
      </c>
      <c r="AA1282">
        <f t="shared" si="139"/>
        <v>2024</v>
      </c>
    </row>
    <row r="1283" spans="1:27" x14ac:dyDescent="0.3">
      <c r="A1283" s="2">
        <v>45133</v>
      </c>
      <c r="B1283" t="s">
        <v>19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2533</v>
      </c>
      <c r="O1283" t="s">
        <v>2534</v>
      </c>
      <c r="P1283">
        <v>40.68</v>
      </c>
      <c r="Q1283" s="2">
        <v>45133</v>
      </c>
      <c r="R1283" s="2">
        <v>45138</v>
      </c>
      <c r="S1283" t="s">
        <v>28</v>
      </c>
      <c r="T1283">
        <f t="shared" ref="T1283:T1346" si="140">SUM(J1283:P1283)</f>
        <v>3379.2674999999999</v>
      </c>
      <c r="U1283">
        <f t="shared" ref="U1283:U1346" si="141">PRODUCT(100,H1283)</f>
        <v>15</v>
      </c>
      <c r="V1283">
        <f t="shared" ref="V1283:V1346" si="142">PRODUCT(D1283:E1283)</f>
        <v>3927.7500000000005</v>
      </c>
      <c r="W1283">
        <f t="shared" ref="W1283:W1346" si="143" xml:space="preserve"> V1283-J1283</f>
        <v>589.16250000000036</v>
      </c>
      <c r="X1283">
        <f t="shared" ref="X1283:X1346" si="144">R1283-Q1283</f>
        <v>5</v>
      </c>
      <c r="Y1283" cm="1">
        <f t="array" ref="Y1283">_xlfn.IFS(H1283=0.1,1,H1283=0.15,1,H1283=0.05,1,H1283=0,0)</f>
        <v>1</v>
      </c>
      <c r="Z1283">
        <f t="shared" ref="Z1283:Z1346" si="145">PRODUCT(Y1283,D1283)</f>
        <v>15</v>
      </c>
      <c r="AA1283">
        <f t="shared" ref="AA1283:AA1346" si="146">YEAR(A1283)</f>
        <v>2023</v>
      </c>
    </row>
    <row r="1284" spans="1:27" x14ac:dyDescent="0.3">
      <c r="A1284" s="2">
        <v>45242</v>
      </c>
      <c r="B1284" t="s">
        <v>19</v>
      </c>
      <c r="C1284" t="s">
        <v>132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68</v>
      </c>
      <c r="J1284">
        <v>2085.5065</v>
      </c>
      <c r="K1284" t="s">
        <v>62</v>
      </c>
      <c r="L1284" t="s">
        <v>35</v>
      </c>
      <c r="M1284">
        <v>0</v>
      </c>
      <c r="N1284" t="s">
        <v>2535</v>
      </c>
      <c r="O1284" t="s">
        <v>2492</v>
      </c>
      <c r="P1284">
        <v>48.94</v>
      </c>
      <c r="Q1284" s="2">
        <v>45242</v>
      </c>
      <c r="R1284" s="2">
        <v>45244</v>
      </c>
      <c r="S1284" t="s">
        <v>28</v>
      </c>
      <c r="T1284">
        <f t="shared" si="140"/>
        <v>2134.4465</v>
      </c>
      <c r="U1284">
        <f t="shared" si="141"/>
        <v>5</v>
      </c>
      <c r="V1284">
        <f t="shared" si="142"/>
        <v>2195.27</v>
      </c>
      <c r="W1284">
        <f t="shared" si="143"/>
        <v>109.76350000000002</v>
      </c>
      <c r="X1284">
        <f t="shared" si="144"/>
        <v>2</v>
      </c>
      <c r="Y1284" cm="1">
        <f t="array" ref="Y1284">_xlfn.IFS(H1284=0.1,1,H1284=0.15,1,H1284=0.05,1,H1284=0,0)</f>
        <v>1</v>
      </c>
      <c r="Z1284">
        <f t="shared" si="145"/>
        <v>11</v>
      </c>
      <c r="AA1284">
        <f t="shared" si="146"/>
        <v>2023</v>
      </c>
    </row>
    <row r="1285" spans="1:27" x14ac:dyDescent="0.3">
      <c r="A1285" s="2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2398.559999999999</v>
      </c>
      <c r="K1285" t="s">
        <v>34</v>
      </c>
      <c r="L1285" t="s">
        <v>25</v>
      </c>
      <c r="M1285">
        <v>0</v>
      </c>
      <c r="N1285" t="s">
        <v>2536</v>
      </c>
      <c r="O1285" t="s">
        <v>2537</v>
      </c>
      <c r="P1285">
        <v>22.12</v>
      </c>
      <c r="Q1285" s="2">
        <v>45765</v>
      </c>
      <c r="R1285" s="2">
        <v>45767</v>
      </c>
      <c r="S1285" t="s">
        <v>50</v>
      </c>
      <c r="T1285">
        <f t="shared" si="140"/>
        <v>2420.6799999999989</v>
      </c>
      <c r="U1285">
        <f t="shared" si="141"/>
        <v>5</v>
      </c>
      <c r="V1285">
        <f t="shared" si="142"/>
        <v>2524.7999999999997</v>
      </c>
      <c r="W1285">
        <f t="shared" si="143"/>
        <v>126.24000000000069</v>
      </c>
      <c r="X1285">
        <f t="shared" si="144"/>
        <v>2</v>
      </c>
      <c r="Y1285" cm="1">
        <f t="array" ref="Y1285">_xlfn.IFS(H1285=0.1,1,H1285=0.15,1,H1285=0.05,1,H1285=0,0)</f>
        <v>1</v>
      </c>
      <c r="Z1285">
        <f t="shared" si="145"/>
        <v>5</v>
      </c>
      <c r="AA1285">
        <f t="shared" si="146"/>
        <v>2025</v>
      </c>
    </row>
    <row r="1286" spans="1:27" x14ac:dyDescent="0.3">
      <c r="A1286" s="2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65</v>
      </c>
      <c r="L1286" t="s">
        <v>59</v>
      </c>
      <c r="M1286">
        <v>1</v>
      </c>
      <c r="N1286" t="s">
        <v>2538</v>
      </c>
      <c r="O1286" t="s">
        <v>2539</v>
      </c>
      <c r="P1286">
        <v>23.19</v>
      </c>
      <c r="Q1286" s="2">
        <v>45150</v>
      </c>
      <c r="R1286" s="2">
        <v>45157</v>
      </c>
      <c r="S1286" t="s">
        <v>38</v>
      </c>
      <c r="T1286">
        <f t="shared" si="140"/>
        <v>239.57399999999998</v>
      </c>
      <c r="U1286">
        <f t="shared" si="141"/>
        <v>5</v>
      </c>
      <c r="V1286">
        <f t="shared" si="142"/>
        <v>226.72</v>
      </c>
      <c r="W1286">
        <f t="shared" si="143"/>
        <v>11.336000000000013</v>
      </c>
      <c r="X1286">
        <f t="shared" si="144"/>
        <v>7</v>
      </c>
      <c r="Y1286" cm="1">
        <f t="array" ref="Y1286">_xlfn.IFS(H1286=0.1,1,H1286=0.15,1,H1286=0.05,1,H1286=0,0)</f>
        <v>1</v>
      </c>
      <c r="Z1286">
        <f t="shared" si="145"/>
        <v>8</v>
      </c>
      <c r="AA1286">
        <f t="shared" si="146"/>
        <v>2023</v>
      </c>
    </row>
    <row r="1287" spans="1:27" x14ac:dyDescent="0.3">
      <c r="A1287" s="2">
        <v>45638</v>
      </c>
      <c r="B1287" t="s">
        <v>71</v>
      </c>
      <c r="C1287" t="s">
        <v>132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2540</v>
      </c>
      <c r="O1287" t="s">
        <v>2541</v>
      </c>
      <c r="P1287">
        <v>26.37</v>
      </c>
      <c r="Q1287" s="2">
        <v>45638</v>
      </c>
      <c r="R1287" s="2">
        <v>45647</v>
      </c>
      <c r="S1287" t="s">
        <v>74</v>
      </c>
      <c r="T1287">
        <f t="shared" si="140"/>
        <v>7602.8589999999995</v>
      </c>
      <c r="U1287">
        <f t="shared" si="141"/>
        <v>10</v>
      </c>
      <c r="V1287">
        <f t="shared" si="142"/>
        <v>8417.2099999999991</v>
      </c>
      <c r="W1287">
        <f t="shared" si="143"/>
        <v>841.72099999999955</v>
      </c>
      <c r="X1287">
        <f t="shared" si="144"/>
        <v>9</v>
      </c>
      <c r="Y1287" cm="1">
        <f t="array" ref="Y1287">_xlfn.IFS(H1287=0.1,1,H1287=0.15,1,H1287=0.05,1,H1287=0,0)</f>
        <v>1</v>
      </c>
      <c r="Z1287">
        <f t="shared" si="145"/>
        <v>17</v>
      </c>
      <c r="AA1287">
        <f t="shared" si="146"/>
        <v>2024</v>
      </c>
    </row>
    <row r="1288" spans="1:27" x14ac:dyDescent="0.3">
      <c r="A1288" s="2">
        <v>45784</v>
      </c>
      <c r="B1288" t="s">
        <v>71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2542</v>
      </c>
      <c r="O1288" t="s">
        <v>2543</v>
      </c>
      <c r="P1288">
        <v>33.65</v>
      </c>
      <c r="Q1288" s="2">
        <v>45784</v>
      </c>
      <c r="R1288" s="2">
        <v>45790</v>
      </c>
      <c r="S1288" t="s">
        <v>74</v>
      </c>
      <c r="T1288">
        <f t="shared" si="140"/>
        <v>1922.9150000000002</v>
      </c>
      <c r="U1288">
        <f t="shared" si="141"/>
        <v>5</v>
      </c>
      <c r="V1288">
        <f t="shared" si="142"/>
        <v>1988.7000000000003</v>
      </c>
      <c r="W1288">
        <f t="shared" si="143"/>
        <v>99.435000000000173</v>
      </c>
      <c r="X1288">
        <f t="shared" si="144"/>
        <v>6</v>
      </c>
      <c r="Y1288" cm="1">
        <f t="array" ref="Y1288">_xlfn.IFS(H1288=0.1,1,H1288=0.15,1,H1288=0.05,1,H1288=0,0)</f>
        <v>1</v>
      </c>
      <c r="Z1288">
        <f t="shared" si="145"/>
        <v>14</v>
      </c>
      <c r="AA1288">
        <f t="shared" si="146"/>
        <v>2025</v>
      </c>
    </row>
    <row r="1289" spans="1:27" x14ac:dyDescent="0.3">
      <c r="A1289" s="2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68</v>
      </c>
      <c r="J1289">
        <v>8069.76</v>
      </c>
      <c r="K1289" t="s">
        <v>62</v>
      </c>
      <c r="L1289" t="s">
        <v>59</v>
      </c>
      <c r="M1289">
        <v>1</v>
      </c>
      <c r="N1289" t="s">
        <v>2544</v>
      </c>
      <c r="O1289" t="s">
        <v>562</v>
      </c>
      <c r="P1289">
        <v>11.67</v>
      </c>
      <c r="Q1289" s="2">
        <v>45726</v>
      </c>
      <c r="R1289" s="2">
        <v>45729</v>
      </c>
      <c r="S1289" t="s">
        <v>28</v>
      </c>
      <c r="T1289">
        <f t="shared" si="140"/>
        <v>8082.43</v>
      </c>
      <c r="U1289">
        <f t="shared" si="141"/>
        <v>0</v>
      </c>
      <c r="V1289">
        <f t="shared" si="142"/>
        <v>8069.76</v>
      </c>
      <c r="W1289">
        <f t="shared" si="143"/>
        <v>0</v>
      </c>
      <c r="X1289">
        <f t="shared" si="144"/>
        <v>3</v>
      </c>
      <c r="Y1289" cm="1">
        <f t="array" ref="Y1289">_xlfn.IFS(H1289=0.1,1,H1289=0.15,1,H1289=0.05,1,H1289=0,0)</f>
        <v>0</v>
      </c>
      <c r="Z1289">
        <f t="shared" si="145"/>
        <v>0</v>
      </c>
      <c r="AA1289">
        <f t="shared" si="146"/>
        <v>2025</v>
      </c>
    </row>
    <row r="1290" spans="1:27" x14ac:dyDescent="0.3">
      <c r="A1290" s="2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L1290" t="s">
        <v>59</v>
      </c>
      <c r="M1290">
        <v>0</v>
      </c>
      <c r="N1290" t="s">
        <v>2545</v>
      </c>
      <c r="O1290" t="s">
        <v>2546</v>
      </c>
      <c r="P1290">
        <v>30.21</v>
      </c>
      <c r="Q1290" s="2">
        <v>45809</v>
      </c>
      <c r="R1290" s="2">
        <v>45818</v>
      </c>
      <c r="S1290" t="s">
        <v>28</v>
      </c>
      <c r="T1290">
        <f t="shared" si="140"/>
        <v>885.61</v>
      </c>
      <c r="U1290">
        <f t="shared" si="141"/>
        <v>0</v>
      </c>
      <c r="V1290">
        <f t="shared" si="142"/>
        <v>855.4</v>
      </c>
      <c r="W1290">
        <f t="shared" si="143"/>
        <v>0</v>
      </c>
      <c r="X1290">
        <f t="shared" si="144"/>
        <v>9</v>
      </c>
      <c r="Y1290" cm="1">
        <f t="array" ref="Y1290">_xlfn.IFS(H1290=0.1,1,H1290=0.15,1,H1290=0.05,1,H1290=0,0)</f>
        <v>0</v>
      </c>
      <c r="Z1290">
        <f t="shared" si="145"/>
        <v>0</v>
      </c>
      <c r="AA1290">
        <f t="shared" si="146"/>
        <v>2025</v>
      </c>
    </row>
    <row r="1291" spans="1:27" x14ac:dyDescent="0.3">
      <c r="A1291" s="2">
        <v>45796</v>
      </c>
      <c r="B1291" t="s">
        <v>71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2547</v>
      </c>
      <c r="O1291" t="s">
        <v>2548</v>
      </c>
      <c r="P1291">
        <v>5.82</v>
      </c>
      <c r="Q1291" s="2">
        <v>45796</v>
      </c>
      <c r="R1291" s="2">
        <v>45798</v>
      </c>
      <c r="S1291" t="s">
        <v>74</v>
      </c>
      <c r="T1291">
        <f t="shared" si="140"/>
        <v>2019.4189999999999</v>
      </c>
      <c r="U1291">
        <f t="shared" si="141"/>
        <v>15</v>
      </c>
      <c r="V1291">
        <f t="shared" si="142"/>
        <v>2368.94</v>
      </c>
      <c r="W1291">
        <f t="shared" si="143"/>
        <v>355.34100000000012</v>
      </c>
      <c r="X1291">
        <f t="shared" si="144"/>
        <v>2</v>
      </c>
      <c r="Y1291" cm="1">
        <f t="array" ref="Y1291">_xlfn.IFS(H1291=0.1,1,H1291=0.15,1,H1291=0.05,1,H1291=0,0)</f>
        <v>1</v>
      </c>
      <c r="Z1291">
        <f t="shared" si="145"/>
        <v>7</v>
      </c>
      <c r="AA1291">
        <f t="shared" si="146"/>
        <v>2025</v>
      </c>
    </row>
    <row r="1292" spans="1:27" x14ac:dyDescent="0.3">
      <c r="A1292" s="2">
        <v>44965</v>
      </c>
      <c r="B1292" t="s">
        <v>19</v>
      </c>
      <c r="C1292" t="s">
        <v>81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62</v>
      </c>
      <c r="L1292" t="s">
        <v>59</v>
      </c>
      <c r="M1292">
        <v>0</v>
      </c>
      <c r="N1292" t="s">
        <v>2549</v>
      </c>
      <c r="O1292" t="s">
        <v>2550</v>
      </c>
      <c r="P1292">
        <v>43.86</v>
      </c>
      <c r="Q1292" s="2">
        <v>44965</v>
      </c>
      <c r="R1292" s="2">
        <v>44973</v>
      </c>
      <c r="S1292" t="s">
        <v>28</v>
      </c>
      <c r="T1292">
        <f t="shared" si="140"/>
        <v>942.86</v>
      </c>
      <c r="U1292">
        <f t="shared" si="141"/>
        <v>0</v>
      </c>
      <c r="V1292">
        <f t="shared" si="142"/>
        <v>899</v>
      </c>
      <c r="W1292">
        <f t="shared" si="143"/>
        <v>0</v>
      </c>
      <c r="X1292">
        <f t="shared" si="144"/>
        <v>8</v>
      </c>
      <c r="Y1292" cm="1">
        <f t="array" ref="Y1292">_xlfn.IFS(H1292=0.1,1,H1292=0.15,1,H1292=0.05,1,H1292=0,0)</f>
        <v>0</v>
      </c>
      <c r="Z1292">
        <f t="shared" si="145"/>
        <v>0</v>
      </c>
      <c r="AA1292">
        <f t="shared" si="146"/>
        <v>2023</v>
      </c>
    </row>
    <row r="1293" spans="1:27" x14ac:dyDescent="0.3">
      <c r="A1293" s="2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65</v>
      </c>
      <c r="L1293" t="s">
        <v>59</v>
      </c>
      <c r="M1293">
        <v>0</v>
      </c>
      <c r="N1293" t="s">
        <v>2551</v>
      </c>
      <c r="O1293" t="s">
        <v>2552</v>
      </c>
      <c r="P1293">
        <v>41.78</v>
      </c>
      <c r="Q1293" s="2">
        <v>45771</v>
      </c>
      <c r="R1293" s="2">
        <v>45780</v>
      </c>
      <c r="S1293" t="s">
        <v>50</v>
      </c>
      <c r="T1293">
        <f t="shared" si="140"/>
        <v>7381.6039999999994</v>
      </c>
      <c r="U1293">
        <f t="shared" si="141"/>
        <v>10</v>
      </c>
      <c r="V1293">
        <f t="shared" si="142"/>
        <v>8155.36</v>
      </c>
      <c r="W1293">
        <f t="shared" si="143"/>
        <v>815.53600000000006</v>
      </c>
      <c r="X1293">
        <f t="shared" si="144"/>
        <v>9</v>
      </c>
      <c r="Y1293" cm="1">
        <f t="array" ref="Y1293">_xlfn.IFS(H1293=0.1,1,H1293=0.15,1,H1293=0.05,1,H1293=0,0)</f>
        <v>1</v>
      </c>
      <c r="Z1293">
        <f t="shared" si="145"/>
        <v>16</v>
      </c>
      <c r="AA1293">
        <f t="shared" si="146"/>
        <v>2025</v>
      </c>
    </row>
    <row r="1294" spans="1:27" x14ac:dyDescent="0.3">
      <c r="A1294" s="2">
        <v>45536</v>
      </c>
      <c r="B1294" t="s">
        <v>39</v>
      </c>
      <c r="C1294" t="s">
        <v>81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62</v>
      </c>
      <c r="L1294" t="s">
        <v>25</v>
      </c>
      <c r="M1294">
        <v>0</v>
      </c>
      <c r="N1294" t="s">
        <v>2553</v>
      </c>
      <c r="O1294" t="s">
        <v>2554</v>
      </c>
      <c r="P1294">
        <v>31.44</v>
      </c>
      <c r="Q1294" s="2">
        <v>45536</v>
      </c>
      <c r="R1294" s="2">
        <v>45543</v>
      </c>
      <c r="S1294" t="s">
        <v>44</v>
      </c>
      <c r="T1294">
        <f t="shared" si="140"/>
        <v>3780.6959999999999</v>
      </c>
      <c r="U1294">
        <f t="shared" si="141"/>
        <v>10</v>
      </c>
      <c r="V1294">
        <f t="shared" si="142"/>
        <v>4165.84</v>
      </c>
      <c r="W1294">
        <f t="shared" si="143"/>
        <v>416.58400000000029</v>
      </c>
      <c r="X1294">
        <f t="shared" si="144"/>
        <v>7</v>
      </c>
      <c r="Y1294" cm="1">
        <f t="array" ref="Y1294">_xlfn.IFS(H1294=0.1,1,H1294=0.15,1,H1294=0.05,1,H1294=0,0)</f>
        <v>1</v>
      </c>
      <c r="Z1294">
        <f t="shared" si="145"/>
        <v>14</v>
      </c>
      <c r="AA1294">
        <f t="shared" si="146"/>
        <v>2024</v>
      </c>
    </row>
    <row r="1295" spans="1:27" x14ac:dyDescent="0.3">
      <c r="A1295" s="2">
        <v>45603</v>
      </c>
      <c r="B1295" t="s">
        <v>45</v>
      </c>
      <c r="C1295" t="s">
        <v>132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L1295" t="s">
        <v>59</v>
      </c>
      <c r="M1295">
        <v>0</v>
      </c>
      <c r="N1295" t="s">
        <v>2555</v>
      </c>
      <c r="O1295" t="s">
        <v>2556</v>
      </c>
      <c r="P1295">
        <v>13.97</v>
      </c>
      <c r="Q1295" s="2">
        <v>45603</v>
      </c>
      <c r="R1295" s="2">
        <v>45609</v>
      </c>
      <c r="S1295" t="s">
        <v>50</v>
      </c>
      <c r="T1295">
        <f t="shared" si="140"/>
        <v>4523.0785000000005</v>
      </c>
      <c r="U1295">
        <f t="shared" si="141"/>
        <v>5</v>
      </c>
      <c r="V1295">
        <f t="shared" si="142"/>
        <v>4746.43</v>
      </c>
      <c r="W1295">
        <f t="shared" si="143"/>
        <v>237.32150000000001</v>
      </c>
      <c r="X1295">
        <f t="shared" si="144"/>
        <v>6</v>
      </c>
      <c r="Y1295" cm="1">
        <f t="array" ref="Y1295">_xlfn.IFS(H1295=0.1,1,H1295=0.15,1,H1295=0.05,1,H1295=0,0)</f>
        <v>1</v>
      </c>
      <c r="Z1295">
        <f t="shared" si="145"/>
        <v>13</v>
      </c>
      <c r="AA1295">
        <f t="shared" si="146"/>
        <v>2024</v>
      </c>
    </row>
    <row r="1296" spans="1:27" x14ac:dyDescent="0.3">
      <c r="A1296" s="2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65</v>
      </c>
      <c r="L1296" t="s">
        <v>59</v>
      </c>
      <c r="M1296">
        <v>1</v>
      </c>
      <c r="N1296" t="s">
        <v>2557</v>
      </c>
      <c r="O1296" t="s">
        <v>2558</v>
      </c>
      <c r="P1296">
        <v>35.92</v>
      </c>
      <c r="Q1296" s="2">
        <v>45625</v>
      </c>
      <c r="R1296" s="2">
        <v>45628</v>
      </c>
      <c r="S1296" t="s">
        <v>28</v>
      </c>
      <c r="T1296">
        <f t="shared" si="140"/>
        <v>176.05</v>
      </c>
      <c r="U1296">
        <f t="shared" si="141"/>
        <v>0</v>
      </c>
      <c r="V1296">
        <f t="shared" si="142"/>
        <v>139.13</v>
      </c>
      <c r="W1296">
        <f t="shared" si="143"/>
        <v>0</v>
      </c>
      <c r="X1296">
        <f t="shared" si="144"/>
        <v>3</v>
      </c>
      <c r="Y1296" cm="1">
        <f t="array" ref="Y1296">_xlfn.IFS(H1296=0.1,1,H1296=0.15,1,H1296=0.05,1,H1296=0,0)</f>
        <v>0</v>
      </c>
      <c r="Z1296">
        <f t="shared" si="145"/>
        <v>0</v>
      </c>
      <c r="AA1296">
        <f t="shared" si="146"/>
        <v>2024</v>
      </c>
    </row>
    <row r="1297" spans="1:27" x14ac:dyDescent="0.3">
      <c r="A1297" s="2">
        <v>45026</v>
      </c>
      <c r="B1297" t="s">
        <v>71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68</v>
      </c>
      <c r="J1297">
        <v>3263.34</v>
      </c>
      <c r="K1297" t="s">
        <v>65</v>
      </c>
      <c r="L1297" t="s">
        <v>59</v>
      </c>
      <c r="M1297">
        <v>1</v>
      </c>
      <c r="N1297" t="s">
        <v>2559</v>
      </c>
      <c r="O1297" t="s">
        <v>2560</v>
      </c>
      <c r="P1297">
        <v>13.19</v>
      </c>
      <c r="Q1297" s="2">
        <v>45026</v>
      </c>
      <c r="R1297" s="2">
        <v>45036</v>
      </c>
      <c r="S1297" t="s">
        <v>74</v>
      </c>
      <c r="T1297">
        <f t="shared" si="140"/>
        <v>3277.53</v>
      </c>
      <c r="U1297">
        <f t="shared" si="141"/>
        <v>0</v>
      </c>
      <c r="V1297">
        <f t="shared" si="142"/>
        <v>3263.34</v>
      </c>
      <c r="W1297">
        <f t="shared" si="143"/>
        <v>0</v>
      </c>
      <c r="X1297">
        <f t="shared" si="144"/>
        <v>10</v>
      </c>
      <c r="Y1297" cm="1">
        <f t="array" ref="Y1297">_xlfn.IFS(H1297=0.1,1,H1297=0.15,1,H1297=0.05,1,H1297=0,0)</f>
        <v>0</v>
      </c>
      <c r="Z1297">
        <f t="shared" si="145"/>
        <v>0</v>
      </c>
      <c r="AA1297">
        <f t="shared" si="146"/>
        <v>2023</v>
      </c>
    </row>
    <row r="1298" spans="1:27" x14ac:dyDescent="0.3">
      <c r="A1298" s="2">
        <v>45301</v>
      </c>
      <c r="B1298" t="s">
        <v>39</v>
      </c>
      <c r="C1298" t="s">
        <v>132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65</v>
      </c>
      <c r="L1298" t="s">
        <v>25</v>
      </c>
      <c r="M1298">
        <v>0</v>
      </c>
      <c r="N1298" t="s">
        <v>2561</v>
      </c>
      <c r="O1298" t="s">
        <v>2562</v>
      </c>
      <c r="P1298">
        <v>15.38</v>
      </c>
      <c r="Q1298" s="2">
        <v>45301</v>
      </c>
      <c r="R1298" s="2">
        <v>45307</v>
      </c>
      <c r="S1298" t="s">
        <v>44</v>
      </c>
      <c r="T1298">
        <f t="shared" si="140"/>
        <v>4189.68</v>
      </c>
      <c r="U1298">
        <f t="shared" si="141"/>
        <v>0</v>
      </c>
      <c r="V1298">
        <f t="shared" si="142"/>
        <v>4174.3</v>
      </c>
      <c r="W1298">
        <f t="shared" si="143"/>
        <v>0</v>
      </c>
      <c r="X1298">
        <f t="shared" si="144"/>
        <v>6</v>
      </c>
      <c r="Y1298" cm="1">
        <f t="array" ref="Y1298">_xlfn.IFS(H1298=0.1,1,H1298=0.15,1,H1298=0.05,1,H1298=0,0)</f>
        <v>0</v>
      </c>
      <c r="Z1298">
        <f t="shared" si="145"/>
        <v>0</v>
      </c>
      <c r="AA1298">
        <f t="shared" si="146"/>
        <v>2024</v>
      </c>
    </row>
    <row r="1299" spans="1:27" x14ac:dyDescent="0.3">
      <c r="A1299" s="2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537.73799999999994</v>
      </c>
      <c r="K1299" t="s">
        <v>65</v>
      </c>
      <c r="L1299" t="s">
        <v>41</v>
      </c>
      <c r="M1299">
        <v>1</v>
      </c>
      <c r="N1299" t="s">
        <v>2563</v>
      </c>
      <c r="O1299" t="s">
        <v>2564</v>
      </c>
      <c r="P1299">
        <v>49.26</v>
      </c>
      <c r="Q1299" s="2">
        <v>45794</v>
      </c>
      <c r="R1299" s="2">
        <v>45800</v>
      </c>
      <c r="S1299" t="s">
        <v>38</v>
      </c>
      <c r="T1299">
        <f t="shared" si="140"/>
        <v>587.99799999999993</v>
      </c>
      <c r="U1299">
        <f t="shared" si="141"/>
        <v>5</v>
      </c>
      <c r="V1299">
        <f t="shared" si="142"/>
        <v>566.04</v>
      </c>
      <c r="W1299">
        <f t="shared" si="143"/>
        <v>28.302000000000021</v>
      </c>
      <c r="X1299">
        <f t="shared" si="144"/>
        <v>6</v>
      </c>
      <c r="Y1299" cm="1">
        <f t="array" ref="Y1299">_xlfn.IFS(H1299=0.1,1,H1299=0.15,1,H1299=0.05,1,H1299=0,0)</f>
        <v>1</v>
      </c>
      <c r="Z1299">
        <f t="shared" si="145"/>
        <v>6</v>
      </c>
      <c r="AA1299">
        <f t="shared" si="146"/>
        <v>2025</v>
      </c>
    </row>
    <row r="1300" spans="1:27" x14ac:dyDescent="0.3">
      <c r="A1300" s="2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2565</v>
      </c>
      <c r="O1300" t="s">
        <v>2566</v>
      </c>
      <c r="P1300">
        <v>38.72</v>
      </c>
      <c r="Q1300" s="2">
        <v>45499</v>
      </c>
      <c r="R1300" s="2">
        <v>45503</v>
      </c>
      <c r="S1300" t="s">
        <v>50</v>
      </c>
      <c r="T1300">
        <f t="shared" si="140"/>
        <v>3761.0569999999998</v>
      </c>
      <c r="U1300">
        <f t="shared" si="141"/>
        <v>15</v>
      </c>
      <c r="V1300">
        <f t="shared" si="142"/>
        <v>4379.22</v>
      </c>
      <c r="W1300">
        <f t="shared" si="143"/>
        <v>656.88300000000027</v>
      </c>
      <c r="X1300">
        <f t="shared" si="144"/>
        <v>4</v>
      </c>
      <c r="Y1300" cm="1">
        <f t="array" ref="Y1300">_xlfn.IFS(H1300=0.1,1,H1300=0.15,1,H1300=0.05,1,H1300=0,0)</f>
        <v>1</v>
      </c>
      <c r="Z1300">
        <f t="shared" si="145"/>
        <v>9</v>
      </c>
      <c r="AA1300">
        <f t="shared" si="146"/>
        <v>2024</v>
      </c>
    </row>
    <row r="1301" spans="1:27" x14ac:dyDescent="0.3">
      <c r="A1301" s="2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5904.3719999999994</v>
      </c>
      <c r="K1301" t="s">
        <v>65</v>
      </c>
      <c r="L1301" t="s">
        <v>25</v>
      </c>
      <c r="M1301">
        <v>0</v>
      </c>
      <c r="N1301" t="s">
        <v>2567</v>
      </c>
      <c r="O1301" t="s">
        <v>2568</v>
      </c>
      <c r="P1301">
        <v>25.84</v>
      </c>
      <c r="Q1301" s="2">
        <v>45652</v>
      </c>
      <c r="R1301" s="2">
        <v>45660</v>
      </c>
      <c r="S1301" t="s">
        <v>38</v>
      </c>
      <c r="T1301">
        <f t="shared" si="140"/>
        <v>5930.2119999999995</v>
      </c>
      <c r="U1301">
        <f t="shared" si="141"/>
        <v>15</v>
      </c>
      <c r="V1301">
        <f t="shared" si="142"/>
        <v>6946.32</v>
      </c>
      <c r="W1301">
        <f t="shared" si="143"/>
        <v>1041.9480000000003</v>
      </c>
      <c r="X1301">
        <f t="shared" si="144"/>
        <v>8</v>
      </c>
      <c r="Y1301" cm="1">
        <f t="array" ref="Y1301">_xlfn.IFS(H1301=0.1,1,H1301=0.15,1,H1301=0.05,1,H1301=0,0)</f>
        <v>1</v>
      </c>
      <c r="Z1301">
        <f t="shared" si="145"/>
        <v>12</v>
      </c>
      <c r="AA1301">
        <f t="shared" si="146"/>
        <v>2024</v>
      </c>
    </row>
    <row r="1302" spans="1:27" x14ac:dyDescent="0.3">
      <c r="A1302" s="2">
        <v>45680</v>
      </c>
      <c r="B1302" t="s">
        <v>19</v>
      </c>
      <c r="C1302" t="s">
        <v>81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62</v>
      </c>
      <c r="L1302" t="s">
        <v>35</v>
      </c>
      <c r="M1302">
        <v>0</v>
      </c>
      <c r="N1302" t="s">
        <v>2569</v>
      </c>
      <c r="O1302" t="s">
        <v>1117</v>
      </c>
      <c r="P1302">
        <v>44.92</v>
      </c>
      <c r="Q1302" s="2">
        <v>45680</v>
      </c>
      <c r="R1302" s="2">
        <v>45688</v>
      </c>
      <c r="S1302" t="s">
        <v>28</v>
      </c>
      <c r="T1302">
        <f t="shared" si="140"/>
        <v>1423.0800000000002</v>
      </c>
      <c r="U1302">
        <f t="shared" si="141"/>
        <v>0</v>
      </c>
      <c r="V1302">
        <f t="shared" si="142"/>
        <v>1378.1599999999999</v>
      </c>
      <c r="W1302">
        <f t="shared" si="143"/>
        <v>0</v>
      </c>
      <c r="X1302">
        <f t="shared" si="144"/>
        <v>8</v>
      </c>
      <c r="Y1302" cm="1">
        <f t="array" ref="Y1302">_xlfn.IFS(H1302=0.1,1,H1302=0.15,1,H1302=0.05,1,H1302=0,0)</f>
        <v>0</v>
      </c>
      <c r="Z1302">
        <f t="shared" si="145"/>
        <v>0</v>
      </c>
      <c r="AA1302">
        <f t="shared" si="146"/>
        <v>2025</v>
      </c>
    </row>
    <row r="1303" spans="1:27" x14ac:dyDescent="0.3">
      <c r="A1303" s="2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62</v>
      </c>
      <c r="L1303" t="s">
        <v>59</v>
      </c>
      <c r="M1303">
        <v>0</v>
      </c>
      <c r="N1303" t="s">
        <v>2570</v>
      </c>
      <c r="O1303" t="s">
        <v>2571</v>
      </c>
      <c r="P1303">
        <v>47.23</v>
      </c>
      <c r="Q1303" s="2">
        <v>45376</v>
      </c>
      <c r="R1303" s="2">
        <v>45383</v>
      </c>
      <c r="S1303" t="s">
        <v>38</v>
      </c>
      <c r="T1303">
        <f t="shared" si="140"/>
        <v>2859.0459999999998</v>
      </c>
      <c r="U1303">
        <f t="shared" si="141"/>
        <v>10</v>
      </c>
      <c r="V1303">
        <f t="shared" si="142"/>
        <v>3124.24</v>
      </c>
      <c r="W1303">
        <f t="shared" si="143"/>
        <v>312.42399999999998</v>
      </c>
      <c r="X1303">
        <f t="shared" si="144"/>
        <v>7</v>
      </c>
      <c r="Y1303" cm="1">
        <f t="array" ref="Y1303">_xlfn.IFS(H1303=0.1,1,H1303=0.15,1,H1303=0.05,1,H1303=0,0)</f>
        <v>1</v>
      </c>
      <c r="Z1303">
        <f t="shared" si="145"/>
        <v>7</v>
      </c>
      <c r="AA1303">
        <f t="shared" si="146"/>
        <v>2024</v>
      </c>
    </row>
    <row r="1304" spans="1:27" x14ac:dyDescent="0.3">
      <c r="A1304" s="2">
        <v>45720</v>
      </c>
      <c r="B1304" t="s">
        <v>45</v>
      </c>
      <c r="C1304" t="s">
        <v>81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2572</v>
      </c>
      <c r="O1304" t="s">
        <v>1183</v>
      </c>
      <c r="P1304">
        <v>36.72</v>
      </c>
      <c r="Q1304" s="2">
        <v>45720</v>
      </c>
      <c r="R1304" s="2">
        <v>45727</v>
      </c>
      <c r="S1304" t="s">
        <v>50</v>
      </c>
      <c r="T1304">
        <f t="shared" si="140"/>
        <v>4957.9000000000005</v>
      </c>
      <c r="U1304">
        <f t="shared" si="141"/>
        <v>0</v>
      </c>
      <c r="V1304">
        <f t="shared" si="142"/>
        <v>4921.18</v>
      </c>
      <c r="W1304">
        <f t="shared" si="143"/>
        <v>0</v>
      </c>
      <c r="X1304">
        <f t="shared" si="144"/>
        <v>7</v>
      </c>
      <c r="Y1304" cm="1">
        <f t="array" ref="Y1304">_xlfn.IFS(H1304=0.1,1,H1304=0.15,1,H1304=0.05,1,H1304=0,0)</f>
        <v>0</v>
      </c>
      <c r="Z1304">
        <f t="shared" si="145"/>
        <v>0</v>
      </c>
      <c r="AA1304">
        <f t="shared" si="146"/>
        <v>2025</v>
      </c>
    </row>
    <row r="1305" spans="1:27" x14ac:dyDescent="0.3">
      <c r="A1305" s="2">
        <v>45219</v>
      </c>
      <c r="B1305" t="s">
        <v>29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L1305" t="s">
        <v>59</v>
      </c>
      <c r="M1305">
        <v>1</v>
      </c>
      <c r="N1305" t="s">
        <v>2573</v>
      </c>
      <c r="O1305" t="s">
        <v>2574</v>
      </c>
      <c r="P1305">
        <v>32.799999999999997</v>
      </c>
      <c r="Q1305" s="2">
        <v>45219</v>
      </c>
      <c r="R1305" s="2">
        <v>45223</v>
      </c>
      <c r="S1305" t="s">
        <v>38</v>
      </c>
      <c r="T1305">
        <f t="shared" si="140"/>
        <v>3503.0840000000003</v>
      </c>
      <c r="U1305">
        <f t="shared" si="141"/>
        <v>10</v>
      </c>
      <c r="V1305">
        <f t="shared" si="142"/>
        <v>3854.7599999999998</v>
      </c>
      <c r="W1305">
        <f t="shared" si="143"/>
        <v>385.47599999999966</v>
      </c>
      <c r="X1305">
        <f t="shared" si="144"/>
        <v>4</v>
      </c>
      <c r="Y1305" cm="1">
        <f t="array" ref="Y1305">_xlfn.IFS(H1305=0.1,1,H1305=0.15,1,H1305=0.05,1,H1305=0,0)</f>
        <v>1</v>
      </c>
      <c r="Z1305">
        <f t="shared" si="145"/>
        <v>14</v>
      </c>
      <c r="AA1305">
        <f t="shared" si="146"/>
        <v>2023</v>
      </c>
    </row>
    <row r="1306" spans="1:27" x14ac:dyDescent="0.3">
      <c r="A1306" s="2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2575</v>
      </c>
      <c r="O1306" t="s">
        <v>2576</v>
      </c>
      <c r="P1306">
        <v>21.73</v>
      </c>
      <c r="Q1306" s="2">
        <v>45554</v>
      </c>
      <c r="R1306" s="2">
        <v>45563</v>
      </c>
      <c r="S1306" t="s">
        <v>50</v>
      </c>
      <c r="T1306">
        <f t="shared" si="140"/>
        <v>68.718000000000004</v>
      </c>
      <c r="U1306">
        <f t="shared" si="141"/>
        <v>15</v>
      </c>
      <c r="V1306">
        <f t="shared" si="142"/>
        <v>55.28</v>
      </c>
      <c r="W1306">
        <f t="shared" si="143"/>
        <v>8.2920000000000016</v>
      </c>
      <c r="X1306">
        <f t="shared" si="144"/>
        <v>9</v>
      </c>
      <c r="Y1306" cm="1">
        <f t="array" ref="Y1306">_xlfn.IFS(H1306=0.1,1,H1306=0.15,1,H1306=0.05,1,H1306=0,0)</f>
        <v>1</v>
      </c>
      <c r="Z1306">
        <f t="shared" si="145"/>
        <v>2</v>
      </c>
      <c r="AA1306">
        <f t="shared" si="146"/>
        <v>2024</v>
      </c>
    </row>
    <row r="1307" spans="1:27" x14ac:dyDescent="0.3">
      <c r="A1307" s="2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2577</v>
      </c>
      <c r="O1307" t="s">
        <v>2578</v>
      </c>
      <c r="P1307">
        <v>12.87</v>
      </c>
      <c r="Q1307" s="2">
        <v>45192</v>
      </c>
      <c r="R1307" s="2">
        <v>45195</v>
      </c>
      <c r="S1307" t="s">
        <v>44</v>
      </c>
      <c r="T1307">
        <f t="shared" si="140"/>
        <v>7480.97</v>
      </c>
      <c r="U1307">
        <f t="shared" si="141"/>
        <v>0</v>
      </c>
      <c r="V1307">
        <f t="shared" si="142"/>
        <v>7468.1</v>
      </c>
      <c r="W1307">
        <f t="shared" si="143"/>
        <v>0</v>
      </c>
      <c r="X1307">
        <f t="shared" si="144"/>
        <v>3</v>
      </c>
      <c r="Y1307" cm="1">
        <f t="array" ref="Y1307">_xlfn.IFS(H1307=0.1,1,H1307=0.15,1,H1307=0.05,1,H1307=0,0)</f>
        <v>0</v>
      </c>
      <c r="Z1307">
        <f t="shared" si="145"/>
        <v>0</v>
      </c>
      <c r="AA1307">
        <f t="shared" si="146"/>
        <v>2023</v>
      </c>
    </row>
    <row r="1308" spans="1:27" x14ac:dyDescent="0.3">
      <c r="A1308" s="2">
        <v>45657</v>
      </c>
      <c r="B1308" t="s">
        <v>19</v>
      </c>
      <c r="C1308" t="s">
        <v>132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2579</v>
      </c>
      <c r="O1308" t="s">
        <v>1320</v>
      </c>
      <c r="P1308">
        <v>35.869999999999997</v>
      </c>
      <c r="Q1308" s="2">
        <v>45657</v>
      </c>
      <c r="R1308" s="2">
        <v>45659</v>
      </c>
      <c r="S1308" t="s">
        <v>28</v>
      </c>
      <c r="T1308">
        <f t="shared" si="140"/>
        <v>8643.02</v>
      </c>
      <c r="U1308">
        <f t="shared" si="141"/>
        <v>0</v>
      </c>
      <c r="V1308">
        <f t="shared" si="142"/>
        <v>8607.15</v>
      </c>
      <c r="W1308">
        <f t="shared" si="143"/>
        <v>0</v>
      </c>
      <c r="X1308">
        <f t="shared" si="144"/>
        <v>2</v>
      </c>
      <c r="Y1308" cm="1">
        <f t="array" ref="Y1308">_xlfn.IFS(H1308=0.1,1,H1308=0.15,1,H1308=0.05,1,H1308=0,0)</f>
        <v>0</v>
      </c>
      <c r="Z1308">
        <f t="shared" si="145"/>
        <v>0</v>
      </c>
      <c r="AA1308">
        <f t="shared" si="146"/>
        <v>2024</v>
      </c>
    </row>
    <row r="1309" spans="1:27" x14ac:dyDescent="0.3">
      <c r="A1309" s="2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62</v>
      </c>
      <c r="L1309" t="s">
        <v>25</v>
      </c>
      <c r="M1309">
        <v>0</v>
      </c>
      <c r="N1309" t="s">
        <v>2580</v>
      </c>
      <c r="O1309" t="s">
        <v>1866</v>
      </c>
      <c r="P1309">
        <v>33.19</v>
      </c>
      <c r="Q1309" s="2">
        <v>45314</v>
      </c>
      <c r="R1309" s="2">
        <v>45322</v>
      </c>
      <c r="S1309" t="s">
        <v>44</v>
      </c>
      <c r="T1309">
        <f t="shared" si="140"/>
        <v>6532.2729999999992</v>
      </c>
      <c r="U1309">
        <f t="shared" si="141"/>
        <v>5</v>
      </c>
      <c r="V1309">
        <f t="shared" si="142"/>
        <v>6841.14</v>
      </c>
      <c r="W1309">
        <f t="shared" si="143"/>
        <v>342.0570000000007</v>
      </c>
      <c r="X1309">
        <f t="shared" si="144"/>
        <v>8</v>
      </c>
      <c r="Y1309" cm="1">
        <f t="array" ref="Y1309">_xlfn.IFS(H1309=0.1,1,H1309=0.15,1,H1309=0.05,1,H1309=0,0)</f>
        <v>1</v>
      </c>
      <c r="Z1309">
        <f t="shared" si="145"/>
        <v>19</v>
      </c>
      <c r="AA1309">
        <f t="shared" si="146"/>
        <v>2024</v>
      </c>
    </row>
    <row r="1310" spans="1:27" x14ac:dyDescent="0.3">
      <c r="A1310" s="2">
        <v>45090</v>
      </c>
      <c r="B1310" t="s">
        <v>19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3371.7600000000011</v>
      </c>
      <c r="K1310" t="s">
        <v>62</v>
      </c>
      <c r="L1310" t="s">
        <v>59</v>
      </c>
      <c r="M1310">
        <v>0</v>
      </c>
      <c r="N1310" t="s">
        <v>2581</v>
      </c>
      <c r="O1310" t="s">
        <v>2582</v>
      </c>
      <c r="P1310">
        <v>10.44</v>
      </c>
      <c r="Q1310" s="2">
        <v>45090</v>
      </c>
      <c r="R1310" s="2">
        <v>45100</v>
      </c>
      <c r="S1310" t="s">
        <v>28</v>
      </c>
      <c r="T1310">
        <f t="shared" si="140"/>
        <v>3382.2000000000012</v>
      </c>
      <c r="U1310">
        <f t="shared" si="141"/>
        <v>10</v>
      </c>
      <c r="V1310">
        <f t="shared" si="142"/>
        <v>3746.4000000000005</v>
      </c>
      <c r="W1310">
        <f t="shared" si="143"/>
        <v>374.63999999999942</v>
      </c>
      <c r="X1310">
        <f t="shared" si="144"/>
        <v>10</v>
      </c>
      <c r="Y1310" cm="1">
        <f t="array" ref="Y1310">_xlfn.IFS(H1310=0.1,1,H1310=0.15,1,H1310=0.05,1,H1310=0,0)</f>
        <v>1</v>
      </c>
      <c r="Z1310">
        <f t="shared" si="145"/>
        <v>7</v>
      </c>
      <c r="AA1310">
        <f t="shared" si="146"/>
        <v>2023</v>
      </c>
    </row>
    <row r="1311" spans="1:27" x14ac:dyDescent="0.3">
      <c r="A1311" s="2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2583</v>
      </c>
      <c r="O1311" t="s">
        <v>2584</v>
      </c>
      <c r="P1311">
        <v>5.46</v>
      </c>
      <c r="Q1311" s="2">
        <v>45108</v>
      </c>
      <c r="R1311" s="2">
        <v>45113</v>
      </c>
      <c r="S1311" t="s">
        <v>28</v>
      </c>
      <c r="T1311">
        <f t="shared" si="140"/>
        <v>3066.93</v>
      </c>
      <c r="U1311">
        <f t="shared" si="141"/>
        <v>0</v>
      </c>
      <c r="V1311">
        <f t="shared" si="142"/>
        <v>3061.47</v>
      </c>
      <c r="W1311">
        <f t="shared" si="143"/>
        <v>0</v>
      </c>
      <c r="X1311">
        <f t="shared" si="144"/>
        <v>5</v>
      </c>
      <c r="Y1311" cm="1">
        <f t="array" ref="Y1311">_xlfn.IFS(H1311=0.1,1,H1311=0.15,1,H1311=0.05,1,H1311=0,0)</f>
        <v>0</v>
      </c>
      <c r="Z1311">
        <f t="shared" si="145"/>
        <v>0</v>
      </c>
      <c r="AA1311">
        <f t="shared" si="146"/>
        <v>2023</v>
      </c>
    </row>
    <row r="1312" spans="1:27" x14ac:dyDescent="0.3">
      <c r="A1312" s="2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65</v>
      </c>
      <c r="L1312" t="s">
        <v>25</v>
      </c>
      <c r="M1312">
        <v>1</v>
      </c>
      <c r="N1312" t="s">
        <v>2585</v>
      </c>
      <c r="O1312" t="s">
        <v>2586</v>
      </c>
      <c r="P1312">
        <v>34.96</v>
      </c>
      <c r="Q1312" s="2">
        <v>45738</v>
      </c>
      <c r="R1312" s="2">
        <v>45741</v>
      </c>
      <c r="S1312" t="s">
        <v>38</v>
      </c>
      <c r="T1312">
        <f t="shared" si="140"/>
        <v>312.71999999999997</v>
      </c>
      <c r="U1312">
        <f t="shared" si="141"/>
        <v>15</v>
      </c>
      <c r="V1312">
        <f t="shared" si="142"/>
        <v>325.60000000000002</v>
      </c>
      <c r="W1312">
        <f t="shared" si="143"/>
        <v>48.840000000000032</v>
      </c>
      <c r="X1312">
        <f t="shared" si="144"/>
        <v>3</v>
      </c>
      <c r="Y1312" cm="1">
        <f t="array" ref="Y1312">_xlfn.IFS(H1312=0.1,1,H1312=0.15,1,H1312=0.05,1,H1312=0,0)</f>
        <v>1</v>
      </c>
      <c r="Z1312">
        <f t="shared" si="145"/>
        <v>11</v>
      </c>
      <c r="AA1312">
        <f t="shared" si="146"/>
        <v>2025</v>
      </c>
    </row>
    <row r="1313" spans="1:27" x14ac:dyDescent="0.3">
      <c r="A1313" s="2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2587</v>
      </c>
      <c r="O1313" t="s">
        <v>2588</v>
      </c>
      <c r="P1313">
        <v>41.87</v>
      </c>
      <c r="Q1313" s="2">
        <v>45695</v>
      </c>
      <c r="R1313" s="2">
        <v>45703</v>
      </c>
      <c r="S1313" t="s">
        <v>38</v>
      </c>
      <c r="T1313">
        <f t="shared" si="140"/>
        <v>2394.174</v>
      </c>
      <c r="U1313">
        <f t="shared" si="141"/>
        <v>15</v>
      </c>
      <c r="V1313">
        <f t="shared" si="142"/>
        <v>2766.24</v>
      </c>
      <c r="W1313">
        <f t="shared" si="143"/>
        <v>414.93599999999969</v>
      </c>
      <c r="X1313">
        <f t="shared" si="144"/>
        <v>8</v>
      </c>
      <c r="Y1313" cm="1">
        <f t="array" ref="Y1313">_xlfn.IFS(H1313=0.1,1,H1313=0.15,1,H1313=0.05,1,H1313=0,0)</f>
        <v>1</v>
      </c>
      <c r="Z1313">
        <f t="shared" si="145"/>
        <v>16</v>
      </c>
      <c r="AA1313">
        <f t="shared" si="146"/>
        <v>2025</v>
      </c>
    </row>
    <row r="1314" spans="1:27" x14ac:dyDescent="0.3">
      <c r="A1314" s="2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2589</v>
      </c>
      <c r="O1314" t="s">
        <v>2590</v>
      </c>
      <c r="P1314">
        <v>19.170000000000002</v>
      </c>
      <c r="Q1314" s="2">
        <v>45217</v>
      </c>
      <c r="R1314" s="2">
        <v>45225</v>
      </c>
      <c r="S1314" t="s">
        <v>44</v>
      </c>
      <c r="T1314">
        <f t="shared" si="140"/>
        <v>259.47000000000003</v>
      </c>
      <c r="U1314">
        <f t="shared" si="141"/>
        <v>0</v>
      </c>
      <c r="V1314">
        <f t="shared" si="142"/>
        <v>240.3</v>
      </c>
      <c r="W1314">
        <f t="shared" si="143"/>
        <v>0</v>
      </c>
      <c r="X1314">
        <f t="shared" si="144"/>
        <v>8</v>
      </c>
      <c r="Y1314" cm="1">
        <f t="array" ref="Y1314">_xlfn.IFS(H1314=0.1,1,H1314=0.15,1,H1314=0.05,1,H1314=0,0)</f>
        <v>0</v>
      </c>
      <c r="Z1314">
        <f t="shared" si="145"/>
        <v>0</v>
      </c>
      <c r="AA1314">
        <f t="shared" si="146"/>
        <v>2023</v>
      </c>
    </row>
    <row r="1315" spans="1:27" x14ac:dyDescent="0.3">
      <c r="A1315" s="2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L1315" t="s">
        <v>59</v>
      </c>
      <c r="M1315">
        <v>0</v>
      </c>
      <c r="N1315" t="s">
        <v>2591</v>
      </c>
      <c r="O1315" t="s">
        <v>2592</v>
      </c>
      <c r="P1315">
        <v>38.979999999999997</v>
      </c>
      <c r="Q1315" s="2">
        <v>45293</v>
      </c>
      <c r="R1315" s="2">
        <v>45302</v>
      </c>
      <c r="S1315" t="s">
        <v>50</v>
      </c>
      <c r="T1315">
        <f t="shared" si="140"/>
        <v>390.26800000000003</v>
      </c>
      <c r="U1315">
        <f t="shared" si="141"/>
        <v>10</v>
      </c>
      <c r="V1315">
        <f t="shared" si="142"/>
        <v>390.32</v>
      </c>
      <c r="W1315">
        <f t="shared" si="143"/>
        <v>39.031999999999982</v>
      </c>
      <c r="X1315">
        <f t="shared" si="144"/>
        <v>9</v>
      </c>
      <c r="Y1315" cm="1">
        <f t="array" ref="Y1315">_xlfn.IFS(H1315=0.1,1,H1315=0.15,1,H1315=0.05,1,H1315=0,0)</f>
        <v>1</v>
      </c>
      <c r="Z1315">
        <f t="shared" si="145"/>
        <v>7</v>
      </c>
      <c r="AA1315">
        <f t="shared" si="146"/>
        <v>2024</v>
      </c>
    </row>
    <row r="1316" spans="1:27" x14ac:dyDescent="0.3">
      <c r="A1316" s="2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83.571999999999989</v>
      </c>
      <c r="K1316" t="s">
        <v>62</v>
      </c>
      <c r="L1316" t="s">
        <v>41</v>
      </c>
      <c r="M1316">
        <v>0</v>
      </c>
      <c r="N1316" t="s">
        <v>2593</v>
      </c>
      <c r="O1316" t="s">
        <v>2594</v>
      </c>
      <c r="P1316">
        <v>39.869999999999997</v>
      </c>
      <c r="Q1316" s="2">
        <v>45724</v>
      </c>
      <c r="R1316" s="2">
        <v>45733</v>
      </c>
      <c r="S1316" t="s">
        <v>38</v>
      </c>
      <c r="T1316">
        <f t="shared" si="140"/>
        <v>123.44199999999998</v>
      </c>
      <c r="U1316">
        <f t="shared" si="141"/>
        <v>15</v>
      </c>
      <c r="V1316">
        <f t="shared" si="142"/>
        <v>98.32</v>
      </c>
      <c r="W1316">
        <f t="shared" si="143"/>
        <v>14.748000000000005</v>
      </c>
      <c r="X1316">
        <f t="shared" si="144"/>
        <v>9</v>
      </c>
      <c r="Y1316" cm="1">
        <f t="array" ref="Y1316">_xlfn.IFS(H1316=0.1,1,H1316=0.15,1,H1316=0.05,1,H1316=0,0)</f>
        <v>1</v>
      </c>
      <c r="Z1316">
        <f t="shared" si="145"/>
        <v>4</v>
      </c>
      <c r="AA1316">
        <f t="shared" si="146"/>
        <v>2025</v>
      </c>
    </row>
    <row r="1317" spans="1:27" x14ac:dyDescent="0.3">
      <c r="A1317" s="2">
        <v>45110</v>
      </c>
      <c r="B1317" t="s">
        <v>71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62</v>
      </c>
      <c r="L1317" t="s">
        <v>25</v>
      </c>
      <c r="M1317">
        <v>0</v>
      </c>
      <c r="N1317" t="s">
        <v>2595</v>
      </c>
      <c r="O1317" t="s">
        <v>2596</v>
      </c>
      <c r="P1317">
        <v>25.54</v>
      </c>
      <c r="Q1317" s="2">
        <v>45110</v>
      </c>
      <c r="R1317" s="2">
        <v>45115</v>
      </c>
      <c r="S1317" t="s">
        <v>74</v>
      </c>
      <c r="T1317">
        <f t="shared" si="140"/>
        <v>1035.18</v>
      </c>
      <c r="U1317">
        <f t="shared" si="141"/>
        <v>0</v>
      </c>
      <c r="V1317">
        <f t="shared" si="142"/>
        <v>1009.64</v>
      </c>
      <c r="W1317">
        <f t="shared" si="143"/>
        <v>0</v>
      </c>
      <c r="X1317">
        <f t="shared" si="144"/>
        <v>5</v>
      </c>
      <c r="Y1317" cm="1">
        <f t="array" ref="Y1317">_xlfn.IFS(H1317=0.1,1,H1317=0.15,1,H1317=0.05,1,H1317=0,0)</f>
        <v>0</v>
      </c>
      <c r="Z1317">
        <f t="shared" si="145"/>
        <v>0</v>
      </c>
      <c r="AA1317">
        <f t="shared" si="146"/>
        <v>2023</v>
      </c>
    </row>
    <row r="1318" spans="1:27" x14ac:dyDescent="0.3">
      <c r="A1318" s="2">
        <v>45245</v>
      </c>
      <c r="B1318" t="s">
        <v>39</v>
      </c>
      <c r="C1318" t="s">
        <v>81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68</v>
      </c>
      <c r="J1318">
        <v>4221.1170000000002</v>
      </c>
      <c r="K1318" t="s">
        <v>34</v>
      </c>
      <c r="L1318" t="s">
        <v>25</v>
      </c>
      <c r="M1318">
        <v>0</v>
      </c>
      <c r="N1318" t="s">
        <v>2597</v>
      </c>
      <c r="O1318" t="s">
        <v>2598</v>
      </c>
      <c r="P1318">
        <v>15.43</v>
      </c>
      <c r="Q1318" s="2">
        <v>45245</v>
      </c>
      <c r="R1318" s="2">
        <v>45252</v>
      </c>
      <c r="S1318" t="s">
        <v>44</v>
      </c>
      <c r="T1318">
        <f t="shared" si="140"/>
        <v>4236.5470000000005</v>
      </c>
      <c r="U1318">
        <f t="shared" si="141"/>
        <v>10</v>
      </c>
      <c r="V1318">
        <f t="shared" si="142"/>
        <v>4690.13</v>
      </c>
      <c r="W1318">
        <f t="shared" si="143"/>
        <v>469.01299999999992</v>
      </c>
      <c r="X1318">
        <f t="shared" si="144"/>
        <v>7</v>
      </c>
      <c r="Y1318" cm="1">
        <f t="array" ref="Y1318">_xlfn.IFS(H1318=0.1,1,H1318=0.15,1,H1318=0.05,1,H1318=0,0)</f>
        <v>1</v>
      </c>
      <c r="Z1318">
        <f t="shared" si="145"/>
        <v>17</v>
      </c>
      <c r="AA1318">
        <f t="shared" si="146"/>
        <v>2023</v>
      </c>
    </row>
    <row r="1319" spans="1:27" x14ac:dyDescent="0.3">
      <c r="A1319" s="2">
        <v>45332</v>
      </c>
      <c r="B1319" t="s">
        <v>71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65</v>
      </c>
      <c r="L1319" t="s">
        <v>41</v>
      </c>
      <c r="M1319">
        <v>0</v>
      </c>
      <c r="N1319" t="s">
        <v>2599</v>
      </c>
      <c r="O1319" t="s">
        <v>2600</v>
      </c>
      <c r="P1319">
        <v>37.14</v>
      </c>
      <c r="Q1319" s="2">
        <v>45332</v>
      </c>
      <c r="R1319" s="2">
        <v>45339</v>
      </c>
      <c r="S1319" t="s">
        <v>74</v>
      </c>
      <c r="T1319">
        <f t="shared" si="140"/>
        <v>1094.7570000000001</v>
      </c>
      <c r="U1319">
        <f t="shared" si="141"/>
        <v>10</v>
      </c>
      <c r="V1319">
        <f t="shared" si="142"/>
        <v>1175.1299999999999</v>
      </c>
      <c r="W1319">
        <f t="shared" si="143"/>
        <v>117.51299999999992</v>
      </c>
      <c r="X1319">
        <f t="shared" si="144"/>
        <v>7</v>
      </c>
      <c r="Y1319" cm="1">
        <f t="array" ref="Y1319">_xlfn.IFS(H1319=0.1,1,H1319=0.15,1,H1319=0.05,1,H1319=0,0)</f>
        <v>1</v>
      </c>
      <c r="Z1319">
        <f t="shared" si="145"/>
        <v>9</v>
      </c>
      <c r="AA1319">
        <f t="shared" si="146"/>
        <v>2024</v>
      </c>
    </row>
    <row r="1320" spans="1:27" x14ac:dyDescent="0.3">
      <c r="A1320" s="2">
        <v>45756</v>
      </c>
      <c r="B1320" t="s">
        <v>71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L1320" t="s">
        <v>59</v>
      </c>
      <c r="M1320">
        <v>0</v>
      </c>
      <c r="N1320" t="s">
        <v>2601</v>
      </c>
      <c r="O1320" t="s">
        <v>1009</v>
      </c>
      <c r="P1320">
        <v>18.46</v>
      </c>
      <c r="Q1320" s="2">
        <v>45756</v>
      </c>
      <c r="R1320" s="2">
        <v>45766</v>
      </c>
      <c r="S1320" t="s">
        <v>74</v>
      </c>
      <c r="T1320">
        <f t="shared" si="140"/>
        <v>3771.1</v>
      </c>
      <c r="U1320">
        <f t="shared" si="141"/>
        <v>0</v>
      </c>
      <c r="V1320">
        <f t="shared" si="142"/>
        <v>3752.6400000000003</v>
      </c>
      <c r="W1320">
        <f t="shared" si="143"/>
        <v>0</v>
      </c>
      <c r="X1320">
        <f t="shared" si="144"/>
        <v>10</v>
      </c>
      <c r="Y1320" cm="1">
        <f t="array" ref="Y1320">_xlfn.IFS(H1320=0.1,1,H1320=0.15,1,H1320=0.05,1,H1320=0,0)</f>
        <v>0</v>
      </c>
      <c r="Z1320">
        <f t="shared" si="145"/>
        <v>0</v>
      </c>
      <c r="AA1320">
        <f t="shared" si="146"/>
        <v>2025</v>
      </c>
    </row>
    <row r="1321" spans="1:27" x14ac:dyDescent="0.3">
      <c r="A1321" s="2">
        <v>45178</v>
      </c>
      <c r="B1321" t="s">
        <v>71</v>
      </c>
      <c r="C1321" t="s">
        <v>81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2602</v>
      </c>
      <c r="O1321" t="s">
        <v>2603</v>
      </c>
      <c r="P1321">
        <v>12.91</v>
      </c>
      <c r="Q1321" s="2">
        <v>45178</v>
      </c>
      <c r="R1321" s="2">
        <v>45181</v>
      </c>
      <c r="S1321" t="s">
        <v>74</v>
      </c>
      <c r="T1321">
        <f t="shared" si="140"/>
        <v>3820.3959999999997</v>
      </c>
      <c r="U1321">
        <f t="shared" si="141"/>
        <v>5</v>
      </c>
      <c r="V1321">
        <f t="shared" si="142"/>
        <v>4007.88</v>
      </c>
      <c r="W1321">
        <f t="shared" si="143"/>
        <v>200.39400000000023</v>
      </c>
      <c r="X1321">
        <f t="shared" si="144"/>
        <v>3</v>
      </c>
      <c r="Y1321" cm="1">
        <f t="array" ref="Y1321">_xlfn.IFS(H1321=0.1,1,H1321=0.15,1,H1321=0.05,1,H1321=0,0)</f>
        <v>1</v>
      </c>
      <c r="Z1321">
        <f t="shared" si="145"/>
        <v>18</v>
      </c>
      <c r="AA1321">
        <f t="shared" si="146"/>
        <v>2023</v>
      </c>
    </row>
    <row r="1322" spans="1:27" x14ac:dyDescent="0.3">
      <c r="A1322" s="2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62</v>
      </c>
      <c r="L1322" t="s">
        <v>25</v>
      </c>
      <c r="M1322">
        <v>0</v>
      </c>
      <c r="N1322" t="s">
        <v>2604</v>
      </c>
      <c r="O1322" t="s">
        <v>2605</v>
      </c>
      <c r="P1322">
        <v>26.32</v>
      </c>
      <c r="Q1322" s="2">
        <v>45004</v>
      </c>
      <c r="R1322" s="2">
        <v>45011</v>
      </c>
      <c r="S1322" t="s">
        <v>28</v>
      </c>
      <c r="T1322">
        <f t="shared" si="140"/>
        <v>4645.8374999999996</v>
      </c>
      <c r="U1322">
        <f t="shared" si="141"/>
        <v>5</v>
      </c>
      <c r="V1322">
        <f t="shared" si="142"/>
        <v>4862.6500000000005</v>
      </c>
      <c r="W1322">
        <f t="shared" si="143"/>
        <v>243.13250000000062</v>
      </c>
      <c r="X1322">
        <f t="shared" si="144"/>
        <v>7</v>
      </c>
      <c r="Y1322" cm="1">
        <f t="array" ref="Y1322">_xlfn.IFS(H1322=0.1,1,H1322=0.15,1,H1322=0.05,1,H1322=0,0)</f>
        <v>1</v>
      </c>
      <c r="Z1322">
        <f t="shared" si="145"/>
        <v>13</v>
      </c>
      <c r="AA1322">
        <f t="shared" si="146"/>
        <v>2023</v>
      </c>
    </row>
    <row r="1323" spans="1:27" x14ac:dyDescent="0.3">
      <c r="A1323" s="2">
        <v>45657</v>
      </c>
      <c r="B1323" t="s">
        <v>45</v>
      </c>
      <c r="C1323" t="s">
        <v>132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2606</v>
      </c>
      <c r="O1323" t="s">
        <v>1915</v>
      </c>
      <c r="P1323">
        <v>6.22</v>
      </c>
      <c r="Q1323" s="2">
        <v>45657</v>
      </c>
      <c r="R1323" s="2">
        <v>45659</v>
      </c>
      <c r="S1323" t="s">
        <v>50</v>
      </c>
      <c r="T1323">
        <f t="shared" si="140"/>
        <v>3285.991</v>
      </c>
      <c r="U1323">
        <f t="shared" si="141"/>
        <v>10</v>
      </c>
      <c r="V1323">
        <f t="shared" si="142"/>
        <v>3644.19</v>
      </c>
      <c r="W1323">
        <f t="shared" si="143"/>
        <v>364.41899999999987</v>
      </c>
      <c r="X1323">
        <f t="shared" si="144"/>
        <v>2</v>
      </c>
      <c r="Y1323" cm="1">
        <f t="array" ref="Y1323">_xlfn.IFS(H1323=0.1,1,H1323=0.15,1,H1323=0.05,1,H1323=0,0)</f>
        <v>1</v>
      </c>
      <c r="Z1323">
        <f t="shared" si="145"/>
        <v>11</v>
      </c>
      <c r="AA1323">
        <f t="shared" si="146"/>
        <v>2024</v>
      </c>
    </row>
    <row r="1324" spans="1:27" x14ac:dyDescent="0.3">
      <c r="A1324" s="2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2607</v>
      </c>
      <c r="O1324" t="s">
        <v>2608</v>
      </c>
      <c r="P1324">
        <v>9.08</v>
      </c>
      <c r="Q1324" s="2">
        <v>45254</v>
      </c>
      <c r="R1324" s="2">
        <v>45256</v>
      </c>
      <c r="S1324" t="s">
        <v>50</v>
      </c>
      <c r="T1324">
        <f t="shared" si="140"/>
        <v>2677.68</v>
      </c>
      <c r="U1324">
        <f t="shared" si="141"/>
        <v>0</v>
      </c>
      <c r="V1324">
        <f t="shared" si="142"/>
        <v>2667.6</v>
      </c>
      <c r="W1324">
        <f t="shared" si="143"/>
        <v>0</v>
      </c>
      <c r="X1324">
        <f t="shared" si="144"/>
        <v>2</v>
      </c>
      <c r="Y1324" cm="1">
        <f t="array" ref="Y1324">_xlfn.IFS(H1324=0.1,1,H1324=0.15,1,H1324=0.05,1,H1324=0,0)</f>
        <v>0</v>
      </c>
      <c r="Z1324">
        <f t="shared" si="145"/>
        <v>0</v>
      </c>
      <c r="AA1324">
        <f t="shared" si="146"/>
        <v>2023</v>
      </c>
    </row>
    <row r="1325" spans="1:27" x14ac:dyDescent="0.3">
      <c r="A1325" s="2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2609</v>
      </c>
      <c r="O1325" t="s">
        <v>2610</v>
      </c>
      <c r="P1325">
        <v>38.89</v>
      </c>
      <c r="Q1325" s="2">
        <v>45792</v>
      </c>
      <c r="R1325" s="2">
        <v>45799</v>
      </c>
      <c r="S1325" t="s">
        <v>28</v>
      </c>
      <c r="T1325">
        <f t="shared" si="140"/>
        <v>4961.29</v>
      </c>
      <c r="U1325">
        <f t="shared" si="141"/>
        <v>0</v>
      </c>
      <c r="V1325">
        <f t="shared" si="142"/>
        <v>4922.3999999999996</v>
      </c>
      <c r="W1325">
        <f t="shared" si="143"/>
        <v>0</v>
      </c>
      <c r="X1325">
        <f t="shared" si="144"/>
        <v>7</v>
      </c>
      <c r="Y1325" cm="1">
        <f t="array" ref="Y1325">_xlfn.IFS(H1325=0.1,1,H1325=0.15,1,H1325=0.05,1,H1325=0,0)</f>
        <v>0</v>
      </c>
      <c r="Z1325">
        <f t="shared" si="145"/>
        <v>0</v>
      </c>
      <c r="AA1325">
        <f t="shared" si="146"/>
        <v>2025</v>
      </c>
    </row>
    <row r="1326" spans="1:27" x14ac:dyDescent="0.3">
      <c r="A1326" s="2">
        <v>45753</v>
      </c>
      <c r="B1326" t="s">
        <v>29</v>
      </c>
      <c r="C1326" t="s">
        <v>81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62</v>
      </c>
      <c r="L1326" t="s">
        <v>35</v>
      </c>
      <c r="M1326">
        <v>0</v>
      </c>
      <c r="N1326" t="s">
        <v>2611</v>
      </c>
      <c r="O1326" t="s">
        <v>2612</v>
      </c>
      <c r="P1326">
        <v>7.54</v>
      </c>
      <c r="Q1326" s="2">
        <v>45753</v>
      </c>
      <c r="R1326" s="2">
        <v>45758</v>
      </c>
      <c r="S1326" t="s">
        <v>38</v>
      </c>
      <c r="T1326">
        <f t="shared" si="140"/>
        <v>4165.8504999999996</v>
      </c>
      <c r="U1326">
        <f t="shared" si="141"/>
        <v>15</v>
      </c>
      <c r="V1326">
        <f t="shared" si="142"/>
        <v>4892.13</v>
      </c>
      <c r="W1326">
        <f t="shared" si="143"/>
        <v>733.81950000000052</v>
      </c>
      <c r="X1326">
        <f t="shared" si="144"/>
        <v>5</v>
      </c>
      <c r="Y1326" cm="1">
        <f t="array" ref="Y1326">_xlfn.IFS(H1326=0.1,1,H1326=0.15,1,H1326=0.05,1,H1326=0,0)</f>
        <v>1</v>
      </c>
      <c r="Z1326">
        <f t="shared" si="145"/>
        <v>9</v>
      </c>
      <c r="AA1326">
        <f t="shared" si="146"/>
        <v>2025</v>
      </c>
    </row>
    <row r="1327" spans="1:27" x14ac:dyDescent="0.3">
      <c r="A1327" s="2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68</v>
      </c>
      <c r="J1327">
        <v>2168.9279999999999</v>
      </c>
      <c r="K1327" t="s">
        <v>65</v>
      </c>
      <c r="L1327" t="s">
        <v>41</v>
      </c>
      <c r="M1327">
        <v>1</v>
      </c>
      <c r="N1327" t="s">
        <v>2613</v>
      </c>
      <c r="O1327" t="s">
        <v>2614</v>
      </c>
      <c r="P1327">
        <v>9.98</v>
      </c>
      <c r="Q1327" s="2">
        <v>45328</v>
      </c>
      <c r="R1327" s="2">
        <v>45336</v>
      </c>
      <c r="S1327" t="s">
        <v>38</v>
      </c>
      <c r="T1327">
        <f t="shared" si="140"/>
        <v>2179.9079999999999</v>
      </c>
      <c r="U1327">
        <f t="shared" si="141"/>
        <v>10</v>
      </c>
      <c r="V1327">
        <f t="shared" si="142"/>
        <v>2409.92</v>
      </c>
      <c r="W1327">
        <f t="shared" si="143"/>
        <v>240.99200000000019</v>
      </c>
      <c r="X1327">
        <f t="shared" si="144"/>
        <v>8</v>
      </c>
      <c r="Y1327" cm="1">
        <f t="array" ref="Y1327">_xlfn.IFS(H1327=0.1,1,H1327=0.15,1,H1327=0.05,1,H1327=0,0)</f>
        <v>1</v>
      </c>
      <c r="Z1327">
        <f t="shared" si="145"/>
        <v>17</v>
      </c>
      <c r="AA1327">
        <f t="shared" si="146"/>
        <v>2024</v>
      </c>
    </row>
    <row r="1328" spans="1:27" x14ac:dyDescent="0.3">
      <c r="A1328" s="2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2615</v>
      </c>
      <c r="O1328" t="s">
        <v>2616</v>
      </c>
      <c r="P1328">
        <v>6.49</v>
      </c>
      <c r="Q1328" s="2">
        <v>45791</v>
      </c>
      <c r="R1328" s="2">
        <v>45797</v>
      </c>
      <c r="S1328" t="s">
        <v>44</v>
      </c>
      <c r="T1328">
        <f t="shared" si="140"/>
        <v>5435.65</v>
      </c>
      <c r="U1328">
        <f t="shared" si="141"/>
        <v>10</v>
      </c>
      <c r="V1328">
        <f t="shared" si="142"/>
        <v>6032.4</v>
      </c>
      <c r="W1328">
        <f t="shared" si="143"/>
        <v>603.23999999999978</v>
      </c>
      <c r="X1328">
        <f t="shared" si="144"/>
        <v>6</v>
      </c>
      <c r="Y1328" cm="1">
        <f t="array" ref="Y1328">_xlfn.IFS(H1328=0.1,1,H1328=0.15,1,H1328=0.05,1,H1328=0,0)</f>
        <v>1</v>
      </c>
      <c r="Z1328">
        <f t="shared" si="145"/>
        <v>12</v>
      </c>
      <c r="AA1328">
        <f t="shared" si="146"/>
        <v>2025</v>
      </c>
    </row>
    <row r="1329" spans="1:27" x14ac:dyDescent="0.3">
      <c r="A1329" s="2">
        <v>44939</v>
      </c>
      <c r="B1329" t="s">
        <v>19</v>
      </c>
      <c r="C1329" t="s">
        <v>81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2617</v>
      </c>
      <c r="O1329" t="s">
        <v>2618</v>
      </c>
      <c r="P1329">
        <v>26.49</v>
      </c>
      <c r="Q1329" s="2">
        <v>44939</v>
      </c>
      <c r="R1329" s="2">
        <v>44944</v>
      </c>
      <c r="S1329" t="s">
        <v>28</v>
      </c>
      <c r="T1329">
        <f t="shared" si="140"/>
        <v>1503.075</v>
      </c>
      <c r="U1329">
        <f t="shared" si="141"/>
        <v>5</v>
      </c>
      <c r="V1329">
        <f t="shared" si="142"/>
        <v>1554.3000000000002</v>
      </c>
      <c r="W1329">
        <f t="shared" si="143"/>
        <v>77.715000000000146</v>
      </c>
      <c r="X1329">
        <f t="shared" si="144"/>
        <v>5</v>
      </c>
      <c r="Y1329" cm="1">
        <f t="array" ref="Y1329">_xlfn.IFS(H1329=0.1,1,H1329=0.15,1,H1329=0.05,1,H1329=0,0)</f>
        <v>1</v>
      </c>
      <c r="Z1329">
        <f t="shared" si="145"/>
        <v>10</v>
      </c>
      <c r="AA1329">
        <f t="shared" si="146"/>
        <v>2023</v>
      </c>
    </row>
    <row r="1330" spans="1:27" x14ac:dyDescent="0.3">
      <c r="A1330" s="2">
        <v>45341</v>
      </c>
      <c r="B1330" t="s">
        <v>39</v>
      </c>
      <c r="C1330" t="s">
        <v>81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2619</v>
      </c>
      <c r="O1330" t="s">
        <v>2620</v>
      </c>
      <c r="P1330">
        <v>24.98</v>
      </c>
      <c r="Q1330" s="2">
        <v>45341</v>
      </c>
      <c r="R1330" s="2">
        <v>45350</v>
      </c>
      <c r="S1330" t="s">
        <v>44</v>
      </c>
      <c r="T1330">
        <f t="shared" si="140"/>
        <v>3693.12</v>
      </c>
      <c r="U1330">
        <f t="shared" si="141"/>
        <v>0</v>
      </c>
      <c r="V1330">
        <f t="shared" si="142"/>
        <v>3667.14</v>
      </c>
      <c r="W1330">
        <f t="shared" si="143"/>
        <v>0</v>
      </c>
      <c r="X1330">
        <f t="shared" si="144"/>
        <v>9</v>
      </c>
      <c r="Y1330" cm="1">
        <f t="array" ref="Y1330">_xlfn.IFS(H1330=0.1,1,H1330=0.15,1,H1330=0.05,1,H1330=0,0)</f>
        <v>0</v>
      </c>
      <c r="Z1330">
        <f t="shared" si="145"/>
        <v>0</v>
      </c>
      <c r="AA1330">
        <f t="shared" si="146"/>
        <v>2024</v>
      </c>
    </row>
    <row r="1331" spans="1:27" x14ac:dyDescent="0.3">
      <c r="A1331" s="2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L1331" t="s">
        <v>59</v>
      </c>
      <c r="M1331">
        <v>0</v>
      </c>
      <c r="N1331" t="s">
        <v>2621</v>
      </c>
      <c r="O1331" t="s">
        <v>2622</v>
      </c>
      <c r="P1331">
        <v>27.45</v>
      </c>
      <c r="Q1331" s="2">
        <v>45206</v>
      </c>
      <c r="R1331" s="2">
        <v>45211</v>
      </c>
      <c r="S1331" t="s">
        <v>38</v>
      </c>
      <c r="T1331">
        <f t="shared" si="140"/>
        <v>1210.9304999999999</v>
      </c>
      <c r="U1331">
        <f t="shared" si="141"/>
        <v>15</v>
      </c>
      <c r="V1331">
        <f t="shared" si="142"/>
        <v>1392.33</v>
      </c>
      <c r="W1331">
        <f t="shared" si="143"/>
        <v>208.84950000000003</v>
      </c>
      <c r="X1331">
        <f t="shared" si="144"/>
        <v>5</v>
      </c>
      <c r="Y1331" cm="1">
        <f t="array" ref="Y1331">_xlfn.IFS(H1331=0.1,1,H1331=0.15,1,H1331=0.05,1,H1331=0,0)</f>
        <v>1</v>
      </c>
      <c r="Z1331">
        <f t="shared" si="145"/>
        <v>3</v>
      </c>
      <c r="AA1331">
        <f t="shared" si="146"/>
        <v>2023</v>
      </c>
    </row>
    <row r="1332" spans="1:27" x14ac:dyDescent="0.3">
      <c r="A1332" s="2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751.45099999999991</v>
      </c>
      <c r="K1332" t="s">
        <v>62</v>
      </c>
      <c r="L1332" t="s">
        <v>41</v>
      </c>
      <c r="M1332">
        <v>0</v>
      </c>
      <c r="N1332" t="s">
        <v>2623</v>
      </c>
      <c r="O1332" t="s">
        <v>2624</v>
      </c>
      <c r="P1332">
        <v>28.71</v>
      </c>
      <c r="Q1332" s="2">
        <v>45552</v>
      </c>
      <c r="R1332" s="2">
        <v>45554</v>
      </c>
      <c r="S1332" t="s">
        <v>50</v>
      </c>
      <c r="T1332">
        <f t="shared" si="140"/>
        <v>780.16099999999994</v>
      </c>
      <c r="U1332">
        <f t="shared" si="141"/>
        <v>15</v>
      </c>
      <c r="V1332">
        <f t="shared" si="142"/>
        <v>884.06</v>
      </c>
      <c r="W1332">
        <f t="shared" si="143"/>
        <v>132.60900000000004</v>
      </c>
      <c r="X1332">
        <f t="shared" si="144"/>
        <v>2</v>
      </c>
      <c r="Y1332" cm="1">
        <f t="array" ref="Y1332">_xlfn.IFS(H1332=0.1,1,H1332=0.15,1,H1332=0.05,1,H1332=0,0)</f>
        <v>1</v>
      </c>
      <c r="Z1332">
        <f t="shared" si="145"/>
        <v>2</v>
      </c>
      <c r="AA1332">
        <f t="shared" si="146"/>
        <v>2024</v>
      </c>
    </row>
    <row r="1333" spans="1:27" x14ac:dyDescent="0.3">
      <c r="A1333" s="2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62</v>
      </c>
      <c r="L1333" t="s">
        <v>41</v>
      </c>
      <c r="M1333">
        <v>1</v>
      </c>
      <c r="N1333" t="s">
        <v>2625</v>
      </c>
      <c r="O1333" t="s">
        <v>2626</v>
      </c>
      <c r="P1333">
        <v>17.03</v>
      </c>
      <c r="Q1333" s="2">
        <v>45053</v>
      </c>
      <c r="R1333" s="2">
        <v>45063</v>
      </c>
      <c r="S1333" t="s">
        <v>44</v>
      </c>
      <c r="T1333">
        <f t="shared" si="140"/>
        <v>569.38149999999996</v>
      </c>
      <c r="U1333">
        <f t="shared" si="141"/>
        <v>5</v>
      </c>
      <c r="V1333">
        <f t="shared" si="142"/>
        <v>580.37</v>
      </c>
      <c r="W1333">
        <f t="shared" si="143"/>
        <v>29.018500000000017</v>
      </c>
      <c r="X1333">
        <f t="shared" si="144"/>
        <v>10</v>
      </c>
      <c r="Y1333" cm="1">
        <f t="array" ref="Y1333">_xlfn.IFS(H1333=0.1,1,H1333=0.15,1,H1333=0.05,1,H1333=0,0)</f>
        <v>1</v>
      </c>
      <c r="Z1333">
        <f t="shared" si="145"/>
        <v>7</v>
      </c>
      <c r="AA1333">
        <f t="shared" si="146"/>
        <v>2023</v>
      </c>
    </row>
    <row r="1334" spans="1:27" x14ac:dyDescent="0.3">
      <c r="A1334" s="2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65</v>
      </c>
      <c r="L1334" t="s">
        <v>35</v>
      </c>
      <c r="M1334">
        <v>0</v>
      </c>
      <c r="N1334" t="s">
        <v>2627</v>
      </c>
      <c r="O1334" t="s">
        <v>377</v>
      </c>
      <c r="P1334">
        <v>29.11</v>
      </c>
      <c r="Q1334" s="2">
        <v>45272</v>
      </c>
      <c r="R1334" s="2">
        <v>45281</v>
      </c>
      <c r="S1334" t="s">
        <v>44</v>
      </c>
      <c r="T1334">
        <f t="shared" si="140"/>
        <v>5202.2779999999993</v>
      </c>
      <c r="U1334">
        <f t="shared" si="141"/>
        <v>15</v>
      </c>
      <c r="V1334">
        <f t="shared" si="142"/>
        <v>6086.08</v>
      </c>
      <c r="W1334">
        <f t="shared" si="143"/>
        <v>912.91200000000026</v>
      </c>
      <c r="X1334">
        <f t="shared" si="144"/>
        <v>9</v>
      </c>
      <c r="Y1334" cm="1">
        <f t="array" ref="Y1334">_xlfn.IFS(H1334=0.1,1,H1334=0.15,1,H1334=0.05,1,H1334=0,0)</f>
        <v>1</v>
      </c>
      <c r="Z1334">
        <f t="shared" si="145"/>
        <v>13</v>
      </c>
      <c r="AA1334">
        <f t="shared" si="146"/>
        <v>2023</v>
      </c>
    </row>
    <row r="1335" spans="1:27" x14ac:dyDescent="0.3">
      <c r="A1335" s="2">
        <v>45727</v>
      </c>
      <c r="B1335" t="s">
        <v>45</v>
      </c>
      <c r="C1335" t="s">
        <v>81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2628</v>
      </c>
      <c r="O1335" t="s">
        <v>2128</v>
      </c>
      <c r="P1335">
        <v>16.39</v>
      </c>
      <c r="Q1335" s="2">
        <v>45727</v>
      </c>
      <c r="R1335" s="2">
        <v>45730</v>
      </c>
      <c r="S1335" t="s">
        <v>50</v>
      </c>
      <c r="T1335">
        <f t="shared" si="140"/>
        <v>48.652000000000001</v>
      </c>
      <c r="U1335">
        <f t="shared" si="141"/>
        <v>5</v>
      </c>
      <c r="V1335">
        <f t="shared" si="142"/>
        <v>33.96</v>
      </c>
      <c r="W1335">
        <f t="shared" si="143"/>
        <v>1.6980000000000004</v>
      </c>
      <c r="X1335">
        <f t="shared" si="144"/>
        <v>3</v>
      </c>
      <c r="Y1335" cm="1">
        <f t="array" ref="Y1335">_xlfn.IFS(H1335=0.1,1,H1335=0.15,1,H1335=0.05,1,H1335=0,0)</f>
        <v>1</v>
      </c>
      <c r="Z1335">
        <f t="shared" si="145"/>
        <v>3</v>
      </c>
      <c r="AA1335">
        <f t="shared" si="146"/>
        <v>2025</v>
      </c>
    </row>
    <row r="1336" spans="1:27" x14ac:dyDescent="0.3">
      <c r="A1336" s="2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65</v>
      </c>
      <c r="L1336" t="s">
        <v>59</v>
      </c>
      <c r="M1336">
        <v>0</v>
      </c>
      <c r="N1336" t="s">
        <v>2629</v>
      </c>
      <c r="O1336" t="s">
        <v>2610</v>
      </c>
      <c r="P1336">
        <v>7.59</v>
      </c>
      <c r="Q1336" s="2">
        <v>45380</v>
      </c>
      <c r="R1336" s="2">
        <v>45389</v>
      </c>
      <c r="S1336" t="s">
        <v>28</v>
      </c>
      <c r="T1336">
        <f t="shared" si="140"/>
        <v>367.03199999999998</v>
      </c>
      <c r="U1336">
        <f t="shared" si="141"/>
        <v>5</v>
      </c>
      <c r="V1336">
        <f t="shared" si="142"/>
        <v>378.36</v>
      </c>
      <c r="W1336">
        <f t="shared" si="143"/>
        <v>18.918000000000006</v>
      </c>
      <c r="X1336">
        <f t="shared" si="144"/>
        <v>9</v>
      </c>
      <c r="Y1336" cm="1">
        <f t="array" ref="Y1336">_xlfn.IFS(H1336=0.1,1,H1336=0.15,1,H1336=0.05,1,H1336=0,0)</f>
        <v>1</v>
      </c>
      <c r="Z1336">
        <f t="shared" si="145"/>
        <v>1</v>
      </c>
      <c r="AA1336">
        <f t="shared" si="146"/>
        <v>2024</v>
      </c>
    </row>
    <row r="1337" spans="1:27" x14ac:dyDescent="0.3">
      <c r="A1337" s="2">
        <v>45501</v>
      </c>
      <c r="B1337" t="s">
        <v>71</v>
      </c>
      <c r="C1337" t="s">
        <v>81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68</v>
      </c>
      <c r="J1337">
        <v>366.36</v>
      </c>
      <c r="K1337" t="s">
        <v>62</v>
      </c>
      <c r="L1337" t="s">
        <v>35</v>
      </c>
      <c r="M1337">
        <v>1</v>
      </c>
      <c r="N1337" t="s">
        <v>2630</v>
      </c>
      <c r="O1337" t="s">
        <v>2631</v>
      </c>
      <c r="P1337">
        <v>49.09</v>
      </c>
      <c r="Q1337" s="2">
        <v>45501</v>
      </c>
      <c r="R1337" s="2">
        <v>45509</v>
      </c>
      <c r="S1337" t="s">
        <v>74</v>
      </c>
      <c r="T1337">
        <f t="shared" si="140"/>
        <v>416.45000000000005</v>
      </c>
      <c r="U1337">
        <f t="shared" si="141"/>
        <v>0</v>
      </c>
      <c r="V1337">
        <f t="shared" si="142"/>
        <v>366.36</v>
      </c>
      <c r="W1337">
        <f t="shared" si="143"/>
        <v>0</v>
      </c>
      <c r="X1337">
        <f t="shared" si="144"/>
        <v>8</v>
      </c>
      <c r="Y1337" cm="1">
        <f t="array" ref="Y1337">_xlfn.IFS(H1337=0.1,1,H1337=0.15,1,H1337=0.05,1,H1337=0,0)</f>
        <v>0</v>
      </c>
      <c r="Z1337">
        <f t="shared" si="145"/>
        <v>0</v>
      </c>
      <c r="AA1337">
        <f t="shared" si="146"/>
        <v>2024</v>
      </c>
    </row>
    <row r="1338" spans="1:27" x14ac:dyDescent="0.3">
      <c r="A1338" s="2">
        <v>45484</v>
      </c>
      <c r="B1338" t="s">
        <v>29</v>
      </c>
      <c r="C1338" t="s">
        <v>81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62</v>
      </c>
      <c r="L1338" t="s">
        <v>35</v>
      </c>
      <c r="M1338">
        <v>1</v>
      </c>
      <c r="N1338" t="s">
        <v>2632</v>
      </c>
      <c r="O1338" t="s">
        <v>2633</v>
      </c>
      <c r="P1338">
        <v>10.34</v>
      </c>
      <c r="Q1338" s="2">
        <v>45484</v>
      </c>
      <c r="R1338" s="2">
        <v>45494</v>
      </c>
      <c r="S1338" t="s">
        <v>38</v>
      </c>
      <c r="T1338">
        <f t="shared" si="140"/>
        <v>1246.896</v>
      </c>
      <c r="U1338">
        <f t="shared" si="141"/>
        <v>10</v>
      </c>
      <c r="V1338">
        <f t="shared" si="142"/>
        <v>1372.8400000000001</v>
      </c>
      <c r="W1338">
        <f t="shared" si="143"/>
        <v>137.28400000000011</v>
      </c>
      <c r="X1338">
        <f t="shared" si="144"/>
        <v>10</v>
      </c>
      <c r="Y1338" cm="1">
        <f t="array" ref="Y1338">_xlfn.IFS(H1338=0.1,1,H1338=0.15,1,H1338=0.05,1,H1338=0,0)</f>
        <v>1</v>
      </c>
      <c r="Z1338">
        <f t="shared" si="145"/>
        <v>14</v>
      </c>
      <c r="AA1338">
        <f t="shared" si="146"/>
        <v>2024</v>
      </c>
    </row>
    <row r="1339" spans="1:27" x14ac:dyDescent="0.3">
      <c r="A1339" s="2">
        <v>45478</v>
      </c>
      <c r="B1339" t="s">
        <v>71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L1339" t="s">
        <v>59</v>
      </c>
      <c r="M1339">
        <v>1</v>
      </c>
      <c r="N1339" t="s">
        <v>2634</v>
      </c>
      <c r="O1339" t="s">
        <v>2635</v>
      </c>
      <c r="P1339">
        <v>18.02</v>
      </c>
      <c r="Q1339" s="2">
        <v>45478</v>
      </c>
      <c r="R1339" s="2">
        <v>45487</v>
      </c>
      <c r="S1339" t="s">
        <v>74</v>
      </c>
      <c r="T1339">
        <f t="shared" si="140"/>
        <v>1703.5160000000001</v>
      </c>
      <c r="U1339">
        <f t="shared" si="141"/>
        <v>15</v>
      </c>
      <c r="V1339">
        <f t="shared" si="142"/>
        <v>1981.76</v>
      </c>
      <c r="W1339">
        <f t="shared" si="143"/>
        <v>297.2639999999999</v>
      </c>
      <c r="X1339">
        <f t="shared" si="144"/>
        <v>9</v>
      </c>
      <c r="Y1339" cm="1">
        <f t="array" ref="Y1339">_xlfn.IFS(H1339=0.1,1,H1339=0.15,1,H1339=0.05,1,H1339=0,0)</f>
        <v>1</v>
      </c>
      <c r="Z1339">
        <f t="shared" si="145"/>
        <v>16</v>
      </c>
      <c r="AA1339">
        <f t="shared" si="146"/>
        <v>2024</v>
      </c>
    </row>
    <row r="1340" spans="1:27" x14ac:dyDescent="0.3">
      <c r="A1340" s="2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2636</v>
      </c>
      <c r="O1340" t="s">
        <v>2637</v>
      </c>
      <c r="P1340">
        <v>25.25</v>
      </c>
      <c r="Q1340" s="2">
        <v>45370</v>
      </c>
      <c r="R1340" s="2">
        <v>45375</v>
      </c>
      <c r="S1340" t="s">
        <v>28</v>
      </c>
      <c r="T1340">
        <f t="shared" si="140"/>
        <v>1397.81</v>
      </c>
      <c r="U1340">
        <f t="shared" si="141"/>
        <v>5</v>
      </c>
      <c r="V1340">
        <f t="shared" si="142"/>
        <v>1444.8</v>
      </c>
      <c r="W1340">
        <f t="shared" si="143"/>
        <v>72.240000000000009</v>
      </c>
      <c r="X1340">
        <f t="shared" si="144"/>
        <v>5</v>
      </c>
      <c r="Y1340" cm="1">
        <f t="array" ref="Y1340">_xlfn.IFS(H1340=0.1,1,H1340=0.15,1,H1340=0.05,1,H1340=0,0)</f>
        <v>1</v>
      </c>
      <c r="Z1340">
        <f t="shared" si="145"/>
        <v>16</v>
      </c>
      <c r="AA1340">
        <f t="shared" si="146"/>
        <v>2024</v>
      </c>
    </row>
    <row r="1341" spans="1:27" x14ac:dyDescent="0.3">
      <c r="A1341" s="2">
        <v>45285</v>
      </c>
      <c r="B1341" t="s">
        <v>45</v>
      </c>
      <c r="C1341" t="s">
        <v>81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7628.7420000000011</v>
      </c>
      <c r="K1341" t="s">
        <v>34</v>
      </c>
      <c r="L1341" t="s">
        <v>25</v>
      </c>
      <c r="M1341">
        <v>0</v>
      </c>
      <c r="N1341" t="s">
        <v>2638</v>
      </c>
      <c r="O1341" t="s">
        <v>2639</v>
      </c>
      <c r="P1341">
        <v>14.87</v>
      </c>
      <c r="Q1341" s="2">
        <v>45285</v>
      </c>
      <c r="R1341" s="2">
        <v>45289</v>
      </c>
      <c r="S1341" t="s">
        <v>50</v>
      </c>
      <c r="T1341">
        <f t="shared" si="140"/>
        <v>7643.612000000001</v>
      </c>
      <c r="U1341">
        <f t="shared" si="141"/>
        <v>10</v>
      </c>
      <c r="V1341">
        <f t="shared" si="142"/>
        <v>8476.380000000001</v>
      </c>
      <c r="W1341">
        <f t="shared" si="143"/>
        <v>847.63799999999992</v>
      </c>
      <c r="X1341">
        <f t="shared" si="144"/>
        <v>4</v>
      </c>
      <c r="Y1341" cm="1">
        <f t="array" ref="Y1341">_xlfn.IFS(H1341=0.1,1,H1341=0.15,1,H1341=0.05,1,H1341=0,0)</f>
        <v>1</v>
      </c>
      <c r="Z1341">
        <f t="shared" si="145"/>
        <v>18</v>
      </c>
      <c r="AA1341">
        <f t="shared" si="146"/>
        <v>2023</v>
      </c>
    </row>
    <row r="1342" spans="1:27" x14ac:dyDescent="0.3">
      <c r="A1342" s="2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68</v>
      </c>
      <c r="J1342">
        <v>4601.3999999999996</v>
      </c>
      <c r="K1342" t="s">
        <v>62</v>
      </c>
      <c r="L1342" t="s">
        <v>25</v>
      </c>
      <c r="M1342">
        <v>0</v>
      </c>
      <c r="N1342" t="s">
        <v>2640</v>
      </c>
      <c r="O1342" t="s">
        <v>2641</v>
      </c>
      <c r="P1342">
        <v>11.62</v>
      </c>
      <c r="Q1342" s="2">
        <v>45629</v>
      </c>
      <c r="R1342" s="2">
        <v>45631</v>
      </c>
      <c r="S1342" t="s">
        <v>38</v>
      </c>
      <c r="T1342">
        <f t="shared" si="140"/>
        <v>4613.0199999999995</v>
      </c>
      <c r="U1342">
        <f t="shared" si="141"/>
        <v>0</v>
      </c>
      <c r="V1342">
        <f t="shared" si="142"/>
        <v>4601.3999999999996</v>
      </c>
      <c r="W1342">
        <f t="shared" si="143"/>
        <v>0</v>
      </c>
      <c r="X1342">
        <f t="shared" si="144"/>
        <v>2</v>
      </c>
      <c r="Y1342" cm="1">
        <f t="array" ref="Y1342">_xlfn.IFS(H1342=0.1,1,H1342=0.15,1,H1342=0.05,1,H1342=0,0)</f>
        <v>0</v>
      </c>
      <c r="Z1342">
        <f t="shared" si="145"/>
        <v>0</v>
      </c>
      <c r="AA1342">
        <f t="shared" si="146"/>
        <v>2024</v>
      </c>
    </row>
    <row r="1343" spans="1:27" x14ac:dyDescent="0.3">
      <c r="A1343" s="2">
        <v>45177</v>
      </c>
      <c r="B1343" t="s">
        <v>19</v>
      </c>
      <c r="C1343" t="s">
        <v>81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2642</v>
      </c>
      <c r="O1343" t="s">
        <v>2643</v>
      </c>
      <c r="P1343">
        <v>9.2899999999999991</v>
      </c>
      <c r="Q1343" s="2">
        <v>45177</v>
      </c>
      <c r="R1343" s="2">
        <v>45184</v>
      </c>
      <c r="S1343" t="s">
        <v>28</v>
      </c>
      <c r="T1343">
        <f t="shared" si="140"/>
        <v>5006.2699999999995</v>
      </c>
      <c r="U1343">
        <f t="shared" si="141"/>
        <v>15</v>
      </c>
      <c r="V1343">
        <f t="shared" si="142"/>
        <v>5878.8</v>
      </c>
      <c r="W1343">
        <f t="shared" si="143"/>
        <v>881.82000000000062</v>
      </c>
      <c r="X1343">
        <f t="shared" si="144"/>
        <v>7</v>
      </c>
      <c r="Y1343" cm="1">
        <f t="array" ref="Y1343">_xlfn.IFS(H1343=0.1,1,H1343=0.15,1,H1343=0.05,1,H1343=0,0)</f>
        <v>1</v>
      </c>
      <c r="Z1343">
        <f t="shared" si="145"/>
        <v>20</v>
      </c>
      <c r="AA1343">
        <f t="shared" si="146"/>
        <v>2023</v>
      </c>
    </row>
    <row r="1344" spans="1:27" x14ac:dyDescent="0.3">
      <c r="A1344" s="2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2644</v>
      </c>
      <c r="O1344" t="s">
        <v>2645</v>
      </c>
      <c r="P1344">
        <v>9.7799999999999994</v>
      </c>
      <c r="Q1344" s="2">
        <v>45296</v>
      </c>
      <c r="R1344" s="2">
        <v>45298</v>
      </c>
      <c r="S1344" t="s">
        <v>28</v>
      </c>
      <c r="T1344">
        <f t="shared" si="140"/>
        <v>917.8</v>
      </c>
      <c r="U1344">
        <f t="shared" si="141"/>
        <v>0</v>
      </c>
      <c r="V1344">
        <f t="shared" si="142"/>
        <v>908.02</v>
      </c>
      <c r="W1344">
        <f t="shared" si="143"/>
        <v>0</v>
      </c>
      <c r="X1344">
        <f t="shared" si="144"/>
        <v>2</v>
      </c>
      <c r="Y1344" cm="1">
        <f t="array" ref="Y1344">_xlfn.IFS(H1344=0.1,1,H1344=0.15,1,H1344=0.05,1,H1344=0,0)</f>
        <v>0</v>
      </c>
      <c r="Z1344">
        <f t="shared" si="145"/>
        <v>0</v>
      </c>
      <c r="AA1344">
        <f t="shared" si="146"/>
        <v>2024</v>
      </c>
    </row>
    <row r="1345" spans="1:27" x14ac:dyDescent="0.3">
      <c r="A1345" s="2">
        <v>45141</v>
      </c>
      <c r="B1345" t="s">
        <v>29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65</v>
      </c>
      <c r="L1345" t="s">
        <v>59</v>
      </c>
      <c r="M1345">
        <v>0</v>
      </c>
      <c r="N1345" t="s">
        <v>2646</v>
      </c>
      <c r="O1345" t="s">
        <v>2647</v>
      </c>
      <c r="P1345">
        <v>28.9</v>
      </c>
      <c r="Q1345" s="2">
        <v>45141</v>
      </c>
      <c r="R1345" s="2">
        <v>45148</v>
      </c>
      <c r="S1345" t="s">
        <v>38</v>
      </c>
      <c r="T1345">
        <f t="shared" si="140"/>
        <v>805.76249999999993</v>
      </c>
      <c r="U1345">
        <f t="shared" si="141"/>
        <v>5</v>
      </c>
      <c r="V1345">
        <f t="shared" si="142"/>
        <v>817.75</v>
      </c>
      <c r="W1345">
        <f t="shared" si="143"/>
        <v>40.887500000000045</v>
      </c>
      <c r="X1345">
        <f t="shared" si="144"/>
        <v>7</v>
      </c>
      <c r="Y1345" cm="1">
        <f t="array" ref="Y1345">_xlfn.IFS(H1345=0.1,1,H1345=0.15,1,H1345=0.05,1,H1345=0,0)</f>
        <v>1</v>
      </c>
      <c r="Z1345">
        <f t="shared" si="145"/>
        <v>5</v>
      </c>
      <c r="AA1345">
        <f t="shared" si="146"/>
        <v>2023</v>
      </c>
    </row>
    <row r="1346" spans="1:27" x14ac:dyDescent="0.3">
      <c r="A1346" s="2">
        <v>45699</v>
      </c>
      <c r="B1346" t="s">
        <v>39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2648</v>
      </c>
      <c r="O1346" t="s">
        <v>2649</v>
      </c>
      <c r="P1346">
        <v>11.72</v>
      </c>
      <c r="Q1346" s="2">
        <v>45699</v>
      </c>
      <c r="R1346" s="2">
        <v>45709</v>
      </c>
      <c r="S1346" t="s">
        <v>44</v>
      </c>
      <c r="T1346">
        <f t="shared" si="140"/>
        <v>1711.04</v>
      </c>
      <c r="U1346">
        <f t="shared" si="141"/>
        <v>0</v>
      </c>
      <c r="V1346">
        <f t="shared" si="142"/>
        <v>1699.3200000000002</v>
      </c>
      <c r="W1346">
        <f t="shared" si="143"/>
        <v>0</v>
      </c>
      <c r="X1346">
        <f t="shared" si="144"/>
        <v>10</v>
      </c>
      <c r="Y1346" cm="1">
        <f t="array" ref="Y1346">_xlfn.IFS(H1346=0.1,1,H1346=0.15,1,H1346=0.05,1,H1346=0,0)</f>
        <v>0</v>
      </c>
      <c r="Z1346">
        <f t="shared" si="145"/>
        <v>0</v>
      </c>
      <c r="AA1346">
        <f t="shared" si="146"/>
        <v>2025</v>
      </c>
    </row>
    <row r="1347" spans="1:27" x14ac:dyDescent="0.3">
      <c r="A1347" s="2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68</v>
      </c>
      <c r="J1347">
        <v>1793.7719999999999</v>
      </c>
      <c r="K1347" t="s">
        <v>24</v>
      </c>
      <c r="L1347" t="s">
        <v>41</v>
      </c>
      <c r="M1347">
        <v>0</v>
      </c>
      <c r="N1347" t="s">
        <v>2650</v>
      </c>
      <c r="O1347" t="s">
        <v>2651</v>
      </c>
      <c r="P1347">
        <v>21.95</v>
      </c>
      <c r="Q1347" s="2">
        <v>45094</v>
      </c>
      <c r="R1347" s="2">
        <v>45098</v>
      </c>
      <c r="S1347" t="s">
        <v>38</v>
      </c>
      <c r="T1347">
        <f t="shared" ref="T1347:T1410" si="147">SUM(J1347:P1347)</f>
        <v>1815.722</v>
      </c>
      <c r="U1347">
        <f t="shared" ref="U1347:U1410" si="148">PRODUCT(100,H1347)</f>
        <v>10</v>
      </c>
      <c r="V1347">
        <f t="shared" ref="V1347:V1410" si="149">PRODUCT(D1347:E1347)</f>
        <v>1993.08</v>
      </c>
      <c r="W1347">
        <f t="shared" ref="W1347:W1410" si="150" xml:space="preserve"> V1347-J1347</f>
        <v>199.30799999999999</v>
      </c>
      <c r="X1347">
        <f t="shared" ref="X1347:X1410" si="151">R1347-Q1347</f>
        <v>4</v>
      </c>
      <c r="Y1347" cm="1">
        <f t="array" ref="Y1347">_xlfn.IFS(H1347=0.1,1,H1347=0.15,1,H1347=0.05,1,H1347=0,0)</f>
        <v>1</v>
      </c>
      <c r="Z1347">
        <f t="shared" ref="Z1347:Z1410" si="152">PRODUCT(Y1347,D1347)</f>
        <v>6</v>
      </c>
      <c r="AA1347">
        <f t="shared" ref="AA1347:AA1410" si="153">YEAR(A1347)</f>
        <v>2023</v>
      </c>
    </row>
    <row r="1348" spans="1:27" x14ac:dyDescent="0.3">
      <c r="A1348" s="2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L1348" t="s">
        <v>59</v>
      </c>
      <c r="M1348">
        <v>0</v>
      </c>
      <c r="N1348" t="s">
        <v>2652</v>
      </c>
      <c r="O1348" t="s">
        <v>2653</v>
      </c>
      <c r="P1348">
        <v>29.19</v>
      </c>
      <c r="Q1348" s="2">
        <v>45327</v>
      </c>
      <c r="R1348" s="2">
        <v>45336</v>
      </c>
      <c r="S1348" t="s">
        <v>50</v>
      </c>
      <c r="T1348">
        <f t="shared" si="147"/>
        <v>5550.3139999999994</v>
      </c>
      <c r="U1348">
        <f t="shared" si="148"/>
        <v>15</v>
      </c>
      <c r="V1348">
        <f t="shared" si="149"/>
        <v>6495.44</v>
      </c>
      <c r="W1348">
        <f t="shared" si="150"/>
        <v>974.3159999999998</v>
      </c>
      <c r="X1348">
        <f t="shared" si="151"/>
        <v>9</v>
      </c>
      <c r="Y1348" cm="1">
        <f t="array" ref="Y1348">_xlfn.IFS(H1348=0.1,1,H1348=0.15,1,H1348=0.05,1,H1348=0,0)</f>
        <v>1</v>
      </c>
      <c r="Z1348">
        <f t="shared" si="152"/>
        <v>14</v>
      </c>
      <c r="AA1348">
        <f t="shared" si="153"/>
        <v>2024</v>
      </c>
    </row>
    <row r="1349" spans="1:27" x14ac:dyDescent="0.3">
      <c r="A1349" s="2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L1349" t="s">
        <v>59</v>
      </c>
      <c r="M1349">
        <v>0</v>
      </c>
      <c r="N1349" t="s">
        <v>2654</v>
      </c>
      <c r="O1349" t="s">
        <v>1898</v>
      </c>
      <c r="P1349">
        <v>24.33</v>
      </c>
      <c r="Q1349" s="2">
        <v>45368</v>
      </c>
      <c r="R1349" s="2">
        <v>45378</v>
      </c>
      <c r="S1349" t="s">
        <v>38</v>
      </c>
      <c r="T1349">
        <f t="shared" si="147"/>
        <v>604.625</v>
      </c>
      <c r="U1349">
        <f t="shared" si="148"/>
        <v>15</v>
      </c>
      <c r="V1349">
        <f t="shared" si="149"/>
        <v>682.69999999999993</v>
      </c>
      <c r="W1349">
        <f t="shared" si="150"/>
        <v>102.40499999999997</v>
      </c>
      <c r="X1349">
        <f t="shared" si="151"/>
        <v>10</v>
      </c>
      <c r="Y1349" cm="1">
        <f t="array" ref="Y1349">_xlfn.IFS(H1349=0.1,1,H1349=0.15,1,H1349=0.05,1,H1349=0,0)</f>
        <v>1</v>
      </c>
      <c r="Z1349">
        <f t="shared" si="152"/>
        <v>10</v>
      </c>
      <c r="AA1349">
        <f t="shared" si="153"/>
        <v>2024</v>
      </c>
    </row>
    <row r="1350" spans="1:27" x14ac:dyDescent="0.3">
      <c r="A1350" s="2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2655</v>
      </c>
      <c r="O1350" t="s">
        <v>2656</v>
      </c>
      <c r="P1350">
        <v>42.65</v>
      </c>
      <c r="Q1350" s="2">
        <v>45325</v>
      </c>
      <c r="R1350" s="2">
        <v>45331</v>
      </c>
      <c r="S1350" t="s">
        <v>50</v>
      </c>
      <c r="T1350">
        <f t="shared" si="147"/>
        <v>248.92600000000002</v>
      </c>
      <c r="U1350">
        <f t="shared" si="148"/>
        <v>5</v>
      </c>
      <c r="V1350">
        <f t="shared" si="149"/>
        <v>216.08</v>
      </c>
      <c r="W1350">
        <f t="shared" si="150"/>
        <v>10.804000000000002</v>
      </c>
      <c r="X1350">
        <f t="shared" si="151"/>
        <v>6</v>
      </c>
      <c r="Y1350" cm="1">
        <f t="array" ref="Y1350">_xlfn.IFS(H1350=0.1,1,H1350=0.15,1,H1350=0.05,1,H1350=0,0)</f>
        <v>1</v>
      </c>
      <c r="Z1350">
        <f t="shared" si="152"/>
        <v>8</v>
      </c>
      <c r="AA1350">
        <f t="shared" si="153"/>
        <v>2024</v>
      </c>
    </row>
    <row r="1351" spans="1:27" x14ac:dyDescent="0.3">
      <c r="A1351" s="2">
        <v>45016</v>
      </c>
      <c r="B1351" t="s">
        <v>39</v>
      </c>
      <c r="C1351" t="s">
        <v>81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2657</v>
      </c>
      <c r="O1351" t="s">
        <v>1597</v>
      </c>
      <c r="P1351">
        <v>9.2899999999999991</v>
      </c>
      <c r="Q1351" s="2">
        <v>45016</v>
      </c>
      <c r="R1351" s="2">
        <v>45026</v>
      </c>
      <c r="S1351" t="s">
        <v>44</v>
      </c>
      <c r="T1351">
        <f t="shared" si="147"/>
        <v>647.56999999999994</v>
      </c>
      <c r="U1351">
        <f t="shared" si="148"/>
        <v>10</v>
      </c>
      <c r="V1351">
        <f t="shared" si="149"/>
        <v>709.19999999999993</v>
      </c>
      <c r="W1351">
        <f t="shared" si="150"/>
        <v>70.919999999999959</v>
      </c>
      <c r="X1351">
        <f t="shared" si="151"/>
        <v>10</v>
      </c>
      <c r="Y1351" cm="1">
        <f t="array" ref="Y1351">_xlfn.IFS(H1351=0.1,1,H1351=0.15,1,H1351=0.05,1,H1351=0,0)</f>
        <v>1</v>
      </c>
      <c r="Z1351">
        <f t="shared" si="152"/>
        <v>9</v>
      </c>
      <c r="AA1351">
        <f t="shared" si="153"/>
        <v>2023</v>
      </c>
    </row>
    <row r="1352" spans="1:27" x14ac:dyDescent="0.3">
      <c r="A1352" s="2">
        <v>45156</v>
      </c>
      <c r="B1352" t="s">
        <v>71</v>
      </c>
      <c r="C1352" t="s">
        <v>81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L1352" t="s">
        <v>59</v>
      </c>
      <c r="M1352">
        <v>0</v>
      </c>
      <c r="N1352" t="s">
        <v>2658</v>
      </c>
      <c r="O1352" t="s">
        <v>2312</v>
      </c>
      <c r="P1352">
        <v>45.99</v>
      </c>
      <c r="Q1352" s="2">
        <v>45156</v>
      </c>
      <c r="R1352" s="2">
        <v>45160</v>
      </c>
      <c r="S1352" t="s">
        <v>74</v>
      </c>
      <c r="T1352">
        <f t="shared" si="147"/>
        <v>2421.6379999999999</v>
      </c>
      <c r="U1352">
        <f t="shared" si="148"/>
        <v>15</v>
      </c>
      <c r="V1352">
        <f t="shared" si="149"/>
        <v>2794.88</v>
      </c>
      <c r="W1352">
        <f t="shared" si="150"/>
        <v>419.23199999999997</v>
      </c>
      <c r="X1352">
        <f t="shared" si="151"/>
        <v>4</v>
      </c>
      <c r="Y1352" cm="1">
        <f t="array" ref="Y1352">_xlfn.IFS(H1352=0.1,1,H1352=0.15,1,H1352=0.05,1,H1352=0,0)</f>
        <v>1</v>
      </c>
      <c r="Z1352">
        <f t="shared" si="152"/>
        <v>16</v>
      </c>
      <c r="AA1352">
        <f t="shared" si="153"/>
        <v>2023</v>
      </c>
    </row>
    <row r="1353" spans="1:27" x14ac:dyDescent="0.3">
      <c r="A1353" s="2">
        <v>45179</v>
      </c>
      <c r="B1353" t="s">
        <v>45</v>
      </c>
      <c r="C1353" t="s">
        <v>132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2659</v>
      </c>
      <c r="O1353" t="s">
        <v>1330</v>
      </c>
      <c r="P1353">
        <v>32.75</v>
      </c>
      <c r="Q1353" s="2">
        <v>45179</v>
      </c>
      <c r="R1353" s="2">
        <v>45182</v>
      </c>
      <c r="S1353" t="s">
        <v>50</v>
      </c>
      <c r="T1353">
        <f t="shared" si="147"/>
        <v>1196.778</v>
      </c>
      <c r="U1353">
        <f t="shared" si="148"/>
        <v>5</v>
      </c>
      <c r="V1353">
        <f t="shared" si="149"/>
        <v>1224.24</v>
      </c>
      <c r="W1353">
        <f t="shared" si="150"/>
        <v>61.211999999999989</v>
      </c>
      <c r="X1353">
        <f t="shared" si="151"/>
        <v>3</v>
      </c>
      <c r="Y1353" cm="1">
        <f t="array" ref="Y1353">_xlfn.IFS(H1353=0.1,1,H1353=0.15,1,H1353=0.05,1,H1353=0,0)</f>
        <v>1</v>
      </c>
      <c r="Z1353">
        <f t="shared" si="152"/>
        <v>4</v>
      </c>
      <c r="AA1353">
        <f t="shared" si="153"/>
        <v>2023</v>
      </c>
    </row>
    <row r="1354" spans="1:27" x14ac:dyDescent="0.3">
      <c r="A1354" s="2">
        <v>45320</v>
      </c>
      <c r="B1354" t="s">
        <v>29</v>
      </c>
      <c r="C1354" t="s">
        <v>81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68</v>
      </c>
      <c r="J1354">
        <v>1970.64</v>
      </c>
      <c r="K1354" t="s">
        <v>58</v>
      </c>
      <c r="L1354" t="s">
        <v>25</v>
      </c>
      <c r="M1354">
        <v>0</v>
      </c>
      <c r="N1354" t="s">
        <v>2660</v>
      </c>
      <c r="O1354" t="s">
        <v>2637</v>
      </c>
      <c r="P1354">
        <v>21.46</v>
      </c>
      <c r="Q1354" s="2">
        <v>45320</v>
      </c>
      <c r="R1354" s="2">
        <v>45325</v>
      </c>
      <c r="S1354" t="s">
        <v>38</v>
      </c>
      <c r="T1354">
        <f t="shared" si="147"/>
        <v>1992.1000000000001</v>
      </c>
      <c r="U1354">
        <f t="shared" si="148"/>
        <v>0</v>
      </c>
      <c r="V1354">
        <f t="shared" si="149"/>
        <v>1970.6399999999999</v>
      </c>
      <c r="W1354">
        <f t="shared" si="150"/>
        <v>0</v>
      </c>
      <c r="X1354">
        <f t="shared" si="151"/>
        <v>5</v>
      </c>
      <c r="Y1354" cm="1">
        <f t="array" ref="Y1354">_xlfn.IFS(H1354=0.1,1,H1354=0.15,1,H1354=0.05,1,H1354=0,0)</f>
        <v>0</v>
      </c>
      <c r="Z1354">
        <f t="shared" si="152"/>
        <v>0</v>
      </c>
      <c r="AA1354">
        <f t="shared" si="153"/>
        <v>2024</v>
      </c>
    </row>
    <row r="1355" spans="1:27" x14ac:dyDescent="0.3">
      <c r="A1355" s="2">
        <v>45372</v>
      </c>
      <c r="B1355" t="s">
        <v>39</v>
      </c>
      <c r="C1355" t="s">
        <v>81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2661</v>
      </c>
      <c r="O1355" t="s">
        <v>2662</v>
      </c>
      <c r="P1355">
        <v>25.02</v>
      </c>
      <c r="Q1355" s="2">
        <v>45372</v>
      </c>
      <c r="R1355" s="2">
        <v>45381</v>
      </c>
      <c r="S1355" t="s">
        <v>44</v>
      </c>
      <c r="T1355">
        <f t="shared" si="147"/>
        <v>6750.8200000000006</v>
      </c>
      <c r="U1355">
        <f t="shared" si="148"/>
        <v>0</v>
      </c>
      <c r="V1355">
        <f t="shared" si="149"/>
        <v>6725.8</v>
      </c>
      <c r="W1355">
        <f t="shared" si="150"/>
        <v>0</v>
      </c>
      <c r="X1355">
        <f t="shared" si="151"/>
        <v>9</v>
      </c>
      <c r="Y1355" cm="1">
        <f t="array" ref="Y1355">_xlfn.IFS(H1355=0.1,1,H1355=0.15,1,H1355=0.05,1,H1355=0,0)</f>
        <v>0</v>
      </c>
      <c r="Z1355">
        <f t="shared" si="152"/>
        <v>0</v>
      </c>
      <c r="AA1355">
        <f t="shared" si="153"/>
        <v>2024</v>
      </c>
    </row>
    <row r="1356" spans="1:27" x14ac:dyDescent="0.3">
      <c r="A1356" s="2">
        <v>45507</v>
      </c>
      <c r="B1356" t="s">
        <v>71</v>
      </c>
      <c r="C1356" t="s">
        <v>81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2663</v>
      </c>
      <c r="O1356" t="s">
        <v>2664</v>
      </c>
      <c r="P1356">
        <v>36.79</v>
      </c>
      <c r="Q1356" s="2">
        <v>45507</v>
      </c>
      <c r="R1356" s="2">
        <v>45509</v>
      </c>
      <c r="S1356" t="s">
        <v>74</v>
      </c>
      <c r="T1356">
        <f t="shared" si="147"/>
        <v>1172.365</v>
      </c>
      <c r="U1356">
        <f t="shared" si="148"/>
        <v>10</v>
      </c>
      <c r="V1356">
        <f t="shared" si="149"/>
        <v>1261.75</v>
      </c>
      <c r="W1356">
        <f t="shared" si="150"/>
        <v>126.17499999999995</v>
      </c>
      <c r="X1356">
        <f t="shared" si="151"/>
        <v>2</v>
      </c>
      <c r="Y1356" cm="1">
        <f t="array" ref="Y1356">_xlfn.IFS(H1356=0.1,1,H1356=0.15,1,H1356=0.05,1,H1356=0,0)</f>
        <v>1</v>
      </c>
      <c r="Z1356">
        <f t="shared" si="152"/>
        <v>7</v>
      </c>
      <c r="AA1356">
        <f t="shared" si="153"/>
        <v>2024</v>
      </c>
    </row>
    <row r="1357" spans="1:27" x14ac:dyDescent="0.3">
      <c r="A1357" s="2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65</v>
      </c>
      <c r="L1357" t="s">
        <v>25</v>
      </c>
      <c r="M1357">
        <v>0</v>
      </c>
      <c r="N1357" t="s">
        <v>2665</v>
      </c>
      <c r="O1357" t="s">
        <v>2666</v>
      </c>
      <c r="P1357">
        <v>7.35</v>
      </c>
      <c r="Q1357" s="2">
        <v>45782</v>
      </c>
      <c r="R1357" s="2">
        <v>45791</v>
      </c>
      <c r="S1357" t="s">
        <v>44</v>
      </c>
      <c r="T1357">
        <f t="shared" si="147"/>
        <v>29.1</v>
      </c>
      <c r="U1357">
        <f t="shared" si="148"/>
        <v>0</v>
      </c>
      <c r="V1357">
        <f t="shared" si="149"/>
        <v>21.75</v>
      </c>
      <c r="W1357">
        <f t="shared" si="150"/>
        <v>0</v>
      </c>
      <c r="X1357">
        <f t="shared" si="151"/>
        <v>9</v>
      </c>
      <c r="Y1357" cm="1">
        <f t="array" ref="Y1357">_xlfn.IFS(H1357=0.1,1,H1357=0.15,1,H1357=0.05,1,H1357=0,0)</f>
        <v>0</v>
      </c>
      <c r="Z1357">
        <f t="shared" si="152"/>
        <v>0</v>
      </c>
      <c r="AA1357">
        <f t="shared" si="153"/>
        <v>2025</v>
      </c>
    </row>
    <row r="1358" spans="1:27" x14ac:dyDescent="0.3">
      <c r="A1358" s="2">
        <v>44965</v>
      </c>
      <c r="B1358" t="s">
        <v>71</v>
      </c>
      <c r="C1358" t="s">
        <v>81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65</v>
      </c>
      <c r="L1358" t="s">
        <v>59</v>
      </c>
      <c r="M1358">
        <v>1</v>
      </c>
      <c r="N1358" t="s">
        <v>2667</v>
      </c>
      <c r="O1358" t="s">
        <v>1205</v>
      </c>
      <c r="P1358">
        <v>20.9</v>
      </c>
      <c r="Q1358" s="2">
        <v>44965</v>
      </c>
      <c r="R1358" s="2">
        <v>44973</v>
      </c>
      <c r="S1358" t="s">
        <v>74</v>
      </c>
      <c r="T1358">
        <f t="shared" si="147"/>
        <v>1767.0720000000001</v>
      </c>
      <c r="U1358">
        <f t="shared" si="148"/>
        <v>10</v>
      </c>
      <c r="V1358">
        <f t="shared" si="149"/>
        <v>1939.08</v>
      </c>
      <c r="W1358">
        <f t="shared" si="150"/>
        <v>193.9079999999999</v>
      </c>
      <c r="X1358">
        <f t="shared" si="151"/>
        <v>8</v>
      </c>
      <c r="Y1358" cm="1">
        <f t="array" ref="Y1358">_xlfn.IFS(H1358=0.1,1,H1358=0.15,1,H1358=0.05,1,H1358=0,0)</f>
        <v>1</v>
      </c>
      <c r="Z1358">
        <f t="shared" si="152"/>
        <v>13</v>
      </c>
      <c r="AA1358">
        <f t="shared" si="153"/>
        <v>2023</v>
      </c>
    </row>
    <row r="1359" spans="1:27" x14ac:dyDescent="0.3">
      <c r="A1359" s="2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68</v>
      </c>
      <c r="J1359">
        <v>1314.355</v>
      </c>
      <c r="K1359" t="s">
        <v>34</v>
      </c>
      <c r="L1359" t="s">
        <v>25</v>
      </c>
      <c r="M1359">
        <v>0</v>
      </c>
      <c r="N1359" t="s">
        <v>2668</v>
      </c>
      <c r="O1359" t="s">
        <v>2669</v>
      </c>
      <c r="P1359">
        <v>15.25</v>
      </c>
      <c r="Q1359" s="2">
        <v>45072</v>
      </c>
      <c r="R1359" s="2">
        <v>45082</v>
      </c>
      <c r="S1359" t="s">
        <v>50</v>
      </c>
      <c r="T1359">
        <f t="shared" si="147"/>
        <v>1329.605</v>
      </c>
      <c r="U1359">
        <f t="shared" si="148"/>
        <v>15</v>
      </c>
      <c r="V1359">
        <f t="shared" si="149"/>
        <v>1546.3</v>
      </c>
      <c r="W1359">
        <f t="shared" si="150"/>
        <v>231.94499999999994</v>
      </c>
      <c r="X1359">
        <f t="shared" si="151"/>
        <v>10</v>
      </c>
      <c r="Y1359" cm="1">
        <f t="array" ref="Y1359">_xlfn.IFS(H1359=0.1,1,H1359=0.15,1,H1359=0.05,1,H1359=0,0)</f>
        <v>1</v>
      </c>
      <c r="Z1359">
        <f t="shared" si="152"/>
        <v>7</v>
      </c>
      <c r="AA1359">
        <f t="shared" si="153"/>
        <v>2023</v>
      </c>
    </row>
    <row r="1360" spans="1:27" x14ac:dyDescent="0.3">
      <c r="A1360" s="2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62</v>
      </c>
      <c r="L1360" t="s">
        <v>41</v>
      </c>
      <c r="M1360">
        <v>0</v>
      </c>
      <c r="N1360" t="s">
        <v>2670</v>
      </c>
      <c r="O1360" t="s">
        <v>2671</v>
      </c>
      <c r="P1360">
        <v>8.91</v>
      </c>
      <c r="Q1360" s="2">
        <v>45488</v>
      </c>
      <c r="R1360" s="2">
        <v>45495</v>
      </c>
      <c r="S1360" t="s">
        <v>28</v>
      </c>
      <c r="T1360">
        <f t="shared" si="147"/>
        <v>336.75300000000004</v>
      </c>
      <c r="U1360">
        <f t="shared" si="148"/>
        <v>10</v>
      </c>
      <c r="V1360">
        <f t="shared" si="149"/>
        <v>364.27</v>
      </c>
      <c r="W1360">
        <f t="shared" si="150"/>
        <v>36.426999999999964</v>
      </c>
      <c r="X1360">
        <f t="shared" si="151"/>
        <v>7</v>
      </c>
      <c r="Y1360" cm="1">
        <f t="array" ref="Y1360">_xlfn.IFS(H1360=0.1,1,H1360=0.15,1,H1360=0.05,1,H1360=0,0)</f>
        <v>1</v>
      </c>
      <c r="Z1360">
        <f t="shared" si="152"/>
        <v>1</v>
      </c>
      <c r="AA1360">
        <f t="shared" si="153"/>
        <v>2024</v>
      </c>
    </row>
    <row r="1361" spans="1:27" x14ac:dyDescent="0.3">
      <c r="A1361" s="2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68</v>
      </c>
      <c r="J1361">
        <v>2757.78</v>
      </c>
      <c r="K1361" t="s">
        <v>24</v>
      </c>
      <c r="L1361" t="s">
        <v>59</v>
      </c>
      <c r="M1361">
        <v>0</v>
      </c>
      <c r="N1361" t="s">
        <v>2672</v>
      </c>
      <c r="O1361" t="s">
        <v>2673</v>
      </c>
      <c r="P1361">
        <v>15.81</v>
      </c>
      <c r="Q1361" s="2">
        <v>45644</v>
      </c>
      <c r="R1361" s="2">
        <v>45653</v>
      </c>
      <c r="S1361" t="s">
        <v>44</v>
      </c>
      <c r="T1361">
        <f t="shared" si="147"/>
        <v>2773.59</v>
      </c>
      <c r="U1361">
        <f t="shared" si="148"/>
        <v>0</v>
      </c>
      <c r="V1361">
        <f t="shared" si="149"/>
        <v>2757.78</v>
      </c>
      <c r="W1361">
        <f t="shared" si="150"/>
        <v>0</v>
      </c>
      <c r="X1361">
        <f t="shared" si="151"/>
        <v>9</v>
      </c>
      <c r="Y1361" cm="1">
        <f t="array" ref="Y1361">_xlfn.IFS(H1361=0.1,1,H1361=0.15,1,H1361=0.05,1,H1361=0,0)</f>
        <v>0</v>
      </c>
      <c r="Z1361">
        <f t="shared" si="152"/>
        <v>0</v>
      </c>
      <c r="AA1361">
        <f t="shared" si="153"/>
        <v>2024</v>
      </c>
    </row>
    <row r="1362" spans="1:27" x14ac:dyDescent="0.3">
      <c r="A1362" s="2">
        <v>45564</v>
      </c>
      <c r="B1362" t="s">
        <v>39</v>
      </c>
      <c r="C1362" t="s">
        <v>81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9541.8000000000011</v>
      </c>
      <c r="K1362" t="s">
        <v>65</v>
      </c>
      <c r="L1362" t="s">
        <v>41</v>
      </c>
      <c r="M1362">
        <v>0</v>
      </c>
      <c r="N1362" t="s">
        <v>2674</v>
      </c>
      <c r="O1362" t="s">
        <v>2675</v>
      </c>
      <c r="P1362">
        <v>37.78</v>
      </c>
      <c r="Q1362" s="2">
        <v>45564</v>
      </c>
      <c r="R1362" s="2">
        <v>45573</v>
      </c>
      <c r="S1362" t="s">
        <v>44</v>
      </c>
      <c r="T1362">
        <f t="shared" si="147"/>
        <v>9579.5800000000017</v>
      </c>
      <c r="U1362">
        <f t="shared" si="148"/>
        <v>10</v>
      </c>
      <c r="V1362">
        <f t="shared" si="149"/>
        <v>10602</v>
      </c>
      <c r="W1362">
        <f t="shared" si="150"/>
        <v>1060.1999999999989</v>
      </c>
      <c r="X1362">
        <f t="shared" si="151"/>
        <v>9</v>
      </c>
      <c r="Y1362" cm="1">
        <f t="array" ref="Y1362">_xlfn.IFS(H1362=0.1,1,H1362=0.15,1,H1362=0.05,1,H1362=0,0)</f>
        <v>1</v>
      </c>
      <c r="Z1362">
        <f t="shared" si="152"/>
        <v>18</v>
      </c>
      <c r="AA1362">
        <f t="shared" si="153"/>
        <v>2024</v>
      </c>
    </row>
    <row r="1363" spans="1:27" x14ac:dyDescent="0.3">
      <c r="A1363" s="2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65</v>
      </c>
      <c r="L1363" t="s">
        <v>25</v>
      </c>
      <c r="M1363">
        <v>0</v>
      </c>
      <c r="N1363" t="s">
        <v>2676</v>
      </c>
      <c r="O1363" t="s">
        <v>2677</v>
      </c>
      <c r="P1363">
        <v>20.92</v>
      </c>
      <c r="Q1363" s="2">
        <v>45590</v>
      </c>
      <c r="R1363" s="2">
        <v>45597</v>
      </c>
      <c r="S1363" t="s">
        <v>38</v>
      </c>
      <c r="T1363">
        <f t="shared" si="147"/>
        <v>3613</v>
      </c>
      <c r="U1363">
        <f t="shared" si="148"/>
        <v>10</v>
      </c>
      <c r="V1363">
        <f t="shared" si="149"/>
        <v>3991.2</v>
      </c>
      <c r="W1363">
        <f t="shared" si="150"/>
        <v>399.11999999999989</v>
      </c>
      <c r="X1363">
        <f t="shared" si="151"/>
        <v>7</v>
      </c>
      <c r="Y1363" cm="1">
        <f t="array" ref="Y1363">_xlfn.IFS(H1363=0.1,1,H1363=0.15,1,H1363=0.05,1,H1363=0,0)</f>
        <v>1</v>
      </c>
      <c r="Z1363">
        <f t="shared" si="152"/>
        <v>16</v>
      </c>
      <c r="AA1363">
        <f t="shared" si="153"/>
        <v>2024</v>
      </c>
    </row>
    <row r="1364" spans="1:27" x14ac:dyDescent="0.3">
      <c r="A1364" s="2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62</v>
      </c>
      <c r="L1364" t="s">
        <v>35</v>
      </c>
      <c r="M1364">
        <v>1</v>
      </c>
      <c r="N1364" t="s">
        <v>2678</v>
      </c>
      <c r="O1364" t="s">
        <v>2679</v>
      </c>
      <c r="P1364">
        <v>6.17</v>
      </c>
      <c r="Q1364" s="2">
        <v>45663</v>
      </c>
      <c r="R1364" s="2">
        <v>45673</v>
      </c>
      <c r="S1364" t="s">
        <v>44</v>
      </c>
      <c r="T1364">
        <f t="shared" si="147"/>
        <v>8373.25</v>
      </c>
      <c r="U1364">
        <f t="shared" si="148"/>
        <v>5</v>
      </c>
      <c r="V1364">
        <f t="shared" si="149"/>
        <v>8806.4</v>
      </c>
      <c r="W1364">
        <f t="shared" si="150"/>
        <v>440.31999999999971</v>
      </c>
      <c r="X1364">
        <f t="shared" si="151"/>
        <v>10</v>
      </c>
      <c r="Y1364" cm="1">
        <f t="array" ref="Y1364">_xlfn.IFS(H1364=0.1,1,H1364=0.15,1,H1364=0.05,1,H1364=0,0)</f>
        <v>1</v>
      </c>
      <c r="Z1364">
        <f t="shared" si="152"/>
        <v>20</v>
      </c>
      <c r="AA1364">
        <f t="shared" si="153"/>
        <v>2025</v>
      </c>
    </row>
    <row r="1365" spans="1:27" x14ac:dyDescent="0.3">
      <c r="A1365" s="2">
        <v>45249</v>
      </c>
      <c r="B1365" t="s">
        <v>45</v>
      </c>
      <c r="C1365" t="s">
        <v>81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62</v>
      </c>
      <c r="L1365" t="s">
        <v>59</v>
      </c>
      <c r="M1365">
        <v>0</v>
      </c>
      <c r="N1365" t="s">
        <v>2680</v>
      </c>
      <c r="O1365" t="s">
        <v>2681</v>
      </c>
      <c r="P1365">
        <v>23.15</v>
      </c>
      <c r="Q1365" s="2">
        <v>45249</v>
      </c>
      <c r="R1365" s="2">
        <v>45251</v>
      </c>
      <c r="S1365" t="s">
        <v>50</v>
      </c>
      <c r="T1365">
        <f t="shared" si="147"/>
        <v>327.16999999999996</v>
      </c>
      <c r="U1365">
        <f t="shared" si="148"/>
        <v>0</v>
      </c>
      <c r="V1365">
        <f t="shared" si="149"/>
        <v>304.02</v>
      </c>
      <c r="W1365">
        <f t="shared" si="150"/>
        <v>0</v>
      </c>
      <c r="X1365">
        <f t="shared" si="151"/>
        <v>2</v>
      </c>
      <c r="Y1365" cm="1">
        <f t="array" ref="Y1365">_xlfn.IFS(H1365=0.1,1,H1365=0.15,1,H1365=0.05,1,H1365=0,0)</f>
        <v>0</v>
      </c>
      <c r="Z1365">
        <f t="shared" si="152"/>
        <v>0</v>
      </c>
      <c r="AA1365">
        <f t="shared" si="153"/>
        <v>2023</v>
      </c>
    </row>
    <row r="1366" spans="1:27" x14ac:dyDescent="0.3">
      <c r="A1366" s="2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5032.5014999999994</v>
      </c>
      <c r="K1366" t="s">
        <v>24</v>
      </c>
      <c r="L1366" t="s">
        <v>59</v>
      </c>
      <c r="M1366">
        <v>1</v>
      </c>
      <c r="N1366" t="s">
        <v>2682</v>
      </c>
      <c r="O1366" t="s">
        <v>2683</v>
      </c>
      <c r="P1366">
        <v>29.9</v>
      </c>
      <c r="Q1366" s="2">
        <v>45393</v>
      </c>
      <c r="R1366" s="2">
        <v>45399</v>
      </c>
      <c r="S1366" t="s">
        <v>38</v>
      </c>
      <c r="T1366">
        <f t="shared" si="147"/>
        <v>5063.401499999999</v>
      </c>
      <c r="U1366">
        <f t="shared" si="148"/>
        <v>5</v>
      </c>
      <c r="V1366">
        <f t="shared" si="149"/>
        <v>5297.37</v>
      </c>
      <c r="W1366">
        <f t="shared" si="150"/>
        <v>264.86850000000049</v>
      </c>
      <c r="X1366">
        <f t="shared" si="151"/>
        <v>6</v>
      </c>
      <c r="Y1366" cm="1">
        <f t="array" ref="Y1366">_xlfn.IFS(H1366=0.1,1,H1366=0.15,1,H1366=0.05,1,H1366=0,0)</f>
        <v>1</v>
      </c>
      <c r="Z1366">
        <f t="shared" si="152"/>
        <v>17</v>
      </c>
      <c r="AA1366">
        <f t="shared" si="153"/>
        <v>2024</v>
      </c>
    </row>
    <row r="1367" spans="1:27" x14ac:dyDescent="0.3">
      <c r="A1367" s="2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68</v>
      </c>
      <c r="J1367">
        <v>750.00599999999997</v>
      </c>
      <c r="K1367" t="s">
        <v>65</v>
      </c>
      <c r="L1367" t="s">
        <v>59</v>
      </c>
      <c r="M1367">
        <v>1</v>
      </c>
      <c r="N1367" t="s">
        <v>2684</v>
      </c>
      <c r="O1367" t="s">
        <v>2685</v>
      </c>
      <c r="P1367">
        <v>23.07</v>
      </c>
      <c r="Q1367" s="2">
        <v>45381</v>
      </c>
      <c r="R1367" s="2">
        <v>45388</v>
      </c>
      <c r="S1367" t="s">
        <v>38</v>
      </c>
      <c r="T1367">
        <f t="shared" si="147"/>
        <v>774.07600000000002</v>
      </c>
      <c r="U1367">
        <f t="shared" si="148"/>
        <v>15</v>
      </c>
      <c r="V1367">
        <f t="shared" si="149"/>
        <v>882.36</v>
      </c>
      <c r="W1367">
        <f t="shared" si="150"/>
        <v>132.35400000000004</v>
      </c>
      <c r="X1367">
        <f t="shared" si="151"/>
        <v>7</v>
      </c>
      <c r="Y1367" cm="1">
        <f t="array" ref="Y1367">_xlfn.IFS(H1367=0.1,1,H1367=0.15,1,H1367=0.05,1,H1367=0,0)</f>
        <v>1</v>
      </c>
      <c r="Z1367">
        <f t="shared" si="152"/>
        <v>2</v>
      </c>
      <c r="AA1367">
        <f t="shared" si="153"/>
        <v>2024</v>
      </c>
    </row>
    <row r="1368" spans="1:27" x14ac:dyDescent="0.3">
      <c r="A1368" s="2">
        <v>45621</v>
      </c>
      <c r="B1368" t="s">
        <v>39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5159.880000000001</v>
      </c>
      <c r="K1368" t="s">
        <v>62</v>
      </c>
      <c r="L1368" t="s">
        <v>41</v>
      </c>
      <c r="M1368">
        <v>0</v>
      </c>
      <c r="N1368" t="s">
        <v>2686</v>
      </c>
      <c r="O1368" t="s">
        <v>496</v>
      </c>
      <c r="P1368">
        <v>15.54</v>
      </c>
      <c r="Q1368" s="2">
        <v>45621</v>
      </c>
      <c r="R1368" s="2">
        <v>45625</v>
      </c>
      <c r="S1368" t="s">
        <v>44</v>
      </c>
      <c r="T1368">
        <f t="shared" si="147"/>
        <v>5175.420000000001</v>
      </c>
      <c r="U1368">
        <f t="shared" si="148"/>
        <v>10</v>
      </c>
      <c r="V1368">
        <f t="shared" si="149"/>
        <v>5733.2000000000007</v>
      </c>
      <c r="W1368">
        <f t="shared" si="150"/>
        <v>573.31999999999971</v>
      </c>
      <c r="X1368">
        <f t="shared" si="151"/>
        <v>4</v>
      </c>
      <c r="Y1368" cm="1">
        <f t="array" ref="Y1368">_xlfn.IFS(H1368=0.1,1,H1368=0.15,1,H1368=0.05,1,H1368=0,0)</f>
        <v>1</v>
      </c>
      <c r="Z1368">
        <f t="shared" si="152"/>
        <v>20</v>
      </c>
      <c r="AA1368">
        <f t="shared" si="153"/>
        <v>2024</v>
      </c>
    </row>
    <row r="1369" spans="1:27" x14ac:dyDescent="0.3">
      <c r="A1369" s="2">
        <v>45663</v>
      </c>
      <c r="B1369" t="s">
        <v>39</v>
      </c>
      <c r="C1369" t="s">
        <v>132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5972.8304999999991</v>
      </c>
      <c r="K1369" t="s">
        <v>65</v>
      </c>
      <c r="L1369" t="s">
        <v>25</v>
      </c>
      <c r="M1369">
        <v>0</v>
      </c>
      <c r="N1369" t="s">
        <v>2687</v>
      </c>
      <c r="O1369" t="s">
        <v>2688</v>
      </c>
      <c r="P1369">
        <v>18.22</v>
      </c>
      <c r="Q1369" s="2">
        <v>45663</v>
      </c>
      <c r="R1369" s="2">
        <v>45672</v>
      </c>
      <c r="S1369" t="s">
        <v>44</v>
      </c>
      <c r="T1369">
        <f t="shared" si="147"/>
        <v>5991.0504999999994</v>
      </c>
      <c r="U1369">
        <f t="shared" si="148"/>
        <v>5</v>
      </c>
      <c r="V1369">
        <f t="shared" si="149"/>
        <v>6287.19</v>
      </c>
      <c r="W1369">
        <f t="shared" si="150"/>
        <v>314.35950000000048</v>
      </c>
      <c r="X1369">
        <f t="shared" si="151"/>
        <v>9</v>
      </c>
      <c r="Y1369" cm="1">
        <f t="array" ref="Y1369">_xlfn.IFS(H1369=0.1,1,H1369=0.15,1,H1369=0.05,1,H1369=0,0)</f>
        <v>1</v>
      </c>
      <c r="Z1369">
        <f t="shared" si="152"/>
        <v>13</v>
      </c>
      <c r="AA1369">
        <f t="shared" si="153"/>
        <v>2025</v>
      </c>
    </row>
    <row r="1370" spans="1:27" x14ac:dyDescent="0.3">
      <c r="A1370" s="2">
        <v>45031</v>
      </c>
      <c r="B1370" t="s">
        <v>71</v>
      </c>
      <c r="C1370" t="s">
        <v>81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62</v>
      </c>
      <c r="L1370" t="s">
        <v>59</v>
      </c>
      <c r="M1370">
        <v>0</v>
      </c>
      <c r="N1370" t="s">
        <v>2689</v>
      </c>
      <c r="O1370" t="s">
        <v>2690</v>
      </c>
      <c r="P1370">
        <v>41.73</v>
      </c>
      <c r="Q1370" s="2">
        <v>45031</v>
      </c>
      <c r="R1370" s="2">
        <v>45034</v>
      </c>
      <c r="S1370" t="s">
        <v>74</v>
      </c>
      <c r="T1370">
        <f t="shared" si="147"/>
        <v>2353.27</v>
      </c>
      <c r="U1370">
        <f t="shared" si="148"/>
        <v>5</v>
      </c>
      <c r="V1370">
        <f t="shared" si="149"/>
        <v>2433.1999999999998</v>
      </c>
      <c r="W1370">
        <f t="shared" si="150"/>
        <v>121.65999999999985</v>
      </c>
      <c r="X1370">
        <f t="shared" si="151"/>
        <v>3</v>
      </c>
      <c r="Y1370" cm="1">
        <f t="array" ref="Y1370">_xlfn.IFS(H1370=0.1,1,H1370=0.15,1,H1370=0.05,1,H1370=0,0)</f>
        <v>1</v>
      </c>
      <c r="Z1370">
        <f t="shared" si="152"/>
        <v>8</v>
      </c>
      <c r="AA1370">
        <f t="shared" si="153"/>
        <v>2023</v>
      </c>
    </row>
    <row r="1371" spans="1:27" x14ac:dyDescent="0.3">
      <c r="A1371" s="2">
        <v>45329</v>
      </c>
      <c r="B1371" t="s">
        <v>19</v>
      </c>
      <c r="C1371" t="s">
        <v>132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4069.889999999999</v>
      </c>
      <c r="K1371" t="s">
        <v>65</v>
      </c>
      <c r="L1371" t="s">
        <v>41</v>
      </c>
      <c r="M1371">
        <v>0</v>
      </c>
      <c r="N1371" t="s">
        <v>2691</v>
      </c>
      <c r="O1371" t="s">
        <v>2692</v>
      </c>
      <c r="P1371">
        <v>15.87</v>
      </c>
      <c r="Q1371" s="2">
        <v>45329</v>
      </c>
      <c r="R1371" s="2">
        <v>45339</v>
      </c>
      <c r="S1371" t="s">
        <v>28</v>
      </c>
      <c r="T1371">
        <f t="shared" si="147"/>
        <v>4085.7599999999989</v>
      </c>
      <c r="U1371">
        <f t="shared" si="148"/>
        <v>10</v>
      </c>
      <c r="V1371">
        <f t="shared" si="149"/>
        <v>4522.0999999999995</v>
      </c>
      <c r="W1371">
        <f t="shared" si="150"/>
        <v>452.21000000000049</v>
      </c>
      <c r="X1371">
        <f t="shared" si="151"/>
        <v>10</v>
      </c>
      <c r="Y1371" cm="1">
        <f t="array" ref="Y1371">_xlfn.IFS(H1371=0.1,1,H1371=0.15,1,H1371=0.05,1,H1371=0,0)</f>
        <v>1</v>
      </c>
      <c r="Z1371">
        <f t="shared" si="152"/>
        <v>10</v>
      </c>
      <c r="AA1371">
        <f t="shared" si="153"/>
        <v>2024</v>
      </c>
    </row>
    <row r="1372" spans="1:27" x14ac:dyDescent="0.3">
      <c r="A1372" s="2">
        <v>45079</v>
      </c>
      <c r="B1372" t="s">
        <v>19</v>
      </c>
      <c r="C1372" t="s">
        <v>132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L1372" t="s">
        <v>59</v>
      </c>
      <c r="M1372">
        <v>1</v>
      </c>
      <c r="N1372" t="s">
        <v>2693</v>
      </c>
      <c r="O1372" t="s">
        <v>2694</v>
      </c>
      <c r="P1372">
        <v>45.11</v>
      </c>
      <c r="Q1372" s="2">
        <v>45079</v>
      </c>
      <c r="R1372" s="2">
        <v>45082</v>
      </c>
      <c r="S1372" t="s">
        <v>28</v>
      </c>
      <c r="T1372">
        <f t="shared" si="147"/>
        <v>939.48599999999999</v>
      </c>
      <c r="U1372">
        <f t="shared" si="148"/>
        <v>10</v>
      </c>
      <c r="V1372">
        <f t="shared" si="149"/>
        <v>992.64</v>
      </c>
      <c r="W1372">
        <f t="shared" si="150"/>
        <v>99.26400000000001</v>
      </c>
      <c r="X1372">
        <f t="shared" si="151"/>
        <v>3</v>
      </c>
      <c r="Y1372" cm="1">
        <f t="array" ref="Y1372">_xlfn.IFS(H1372=0.1,1,H1372=0.15,1,H1372=0.05,1,H1372=0,0)</f>
        <v>1</v>
      </c>
      <c r="Z1372">
        <f t="shared" si="152"/>
        <v>4</v>
      </c>
      <c r="AA1372">
        <f t="shared" si="153"/>
        <v>2023</v>
      </c>
    </row>
    <row r="1373" spans="1:27" x14ac:dyDescent="0.3">
      <c r="A1373" s="2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2695</v>
      </c>
      <c r="O1373" t="s">
        <v>2696</v>
      </c>
      <c r="P1373">
        <v>18.25</v>
      </c>
      <c r="Q1373" s="2">
        <v>45162</v>
      </c>
      <c r="R1373" s="2">
        <v>45171</v>
      </c>
      <c r="S1373" t="s">
        <v>28</v>
      </c>
      <c r="T1373">
        <f t="shared" si="147"/>
        <v>2098.25</v>
      </c>
      <c r="U1373">
        <f t="shared" si="148"/>
        <v>0</v>
      </c>
      <c r="V1373">
        <f t="shared" si="149"/>
        <v>2080</v>
      </c>
      <c r="W1373">
        <f t="shared" si="150"/>
        <v>0</v>
      </c>
      <c r="X1373">
        <f t="shared" si="151"/>
        <v>9</v>
      </c>
      <c r="Y1373" cm="1">
        <f t="array" ref="Y1373">_xlfn.IFS(H1373=0.1,1,H1373=0.15,1,H1373=0.05,1,H1373=0,0)</f>
        <v>0</v>
      </c>
      <c r="Z1373">
        <f t="shared" si="152"/>
        <v>0</v>
      </c>
      <c r="AA1373">
        <f t="shared" si="153"/>
        <v>2023</v>
      </c>
    </row>
    <row r="1374" spans="1:27" x14ac:dyDescent="0.3">
      <c r="A1374" s="2">
        <v>45632</v>
      </c>
      <c r="B1374" t="s">
        <v>29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2697</v>
      </c>
      <c r="O1374" t="s">
        <v>2698</v>
      </c>
      <c r="P1374">
        <v>12.6</v>
      </c>
      <c r="Q1374" s="2">
        <v>45632</v>
      </c>
      <c r="R1374" s="2">
        <v>45637</v>
      </c>
      <c r="S1374" t="s">
        <v>38</v>
      </c>
      <c r="T1374">
        <f t="shared" si="147"/>
        <v>6294.3700000000008</v>
      </c>
      <c r="U1374">
        <f t="shared" si="148"/>
        <v>0</v>
      </c>
      <c r="V1374">
        <f t="shared" si="149"/>
        <v>6281.77</v>
      </c>
      <c r="W1374">
        <f t="shared" si="150"/>
        <v>0</v>
      </c>
      <c r="X1374">
        <f t="shared" si="151"/>
        <v>5</v>
      </c>
      <c r="Y1374" cm="1">
        <f t="array" ref="Y1374">_xlfn.IFS(H1374=0.1,1,H1374=0.15,1,H1374=0.05,1,H1374=0,0)</f>
        <v>0</v>
      </c>
      <c r="Z1374">
        <f t="shared" si="152"/>
        <v>0</v>
      </c>
      <c r="AA1374">
        <f t="shared" si="153"/>
        <v>2024</v>
      </c>
    </row>
    <row r="1375" spans="1:27" x14ac:dyDescent="0.3">
      <c r="A1375" s="2">
        <v>45268</v>
      </c>
      <c r="B1375" t="s">
        <v>19</v>
      </c>
      <c r="C1375" t="s">
        <v>81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62</v>
      </c>
      <c r="L1375" t="s">
        <v>35</v>
      </c>
      <c r="M1375">
        <v>1</v>
      </c>
      <c r="N1375" t="s">
        <v>2699</v>
      </c>
      <c r="O1375" t="s">
        <v>2700</v>
      </c>
      <c r="P1375">
        <v>30.43</v>
      </c>
      <c r="Q1375" s="2">
        <v>45268</v>
      </c>
      <c r="R1375" s="2">
        <v>45274</v>
      </c>
      <c r="S1375" t="s">
        <v>28</v>
      </c>
      <c r="T1375">
        <f t="shared" si="147"/>
        <v>680.57299999999998</v>
      </c>
      <c r="U1375">
        <f t="shared" si="148"/>
        <v>10</v>
      </c>
      <c r="V1375">
        <f t="shared" si="149"/>
        <v>721.27</v>
      </c>
      <c r="W1375">
        <f t="shared" si="150"/>
        <v>72.126999999999953</v>
      </c>
      <c r="X1375">
        <f t="shared" si="151"/>
        <v>6</v>
      </c>
      <c r="Y1375" cm="1">
        <f t="array" ref="Y1375">_xlfn.IFS(H1375=0.1,1,H1375=0.15,1,H1375=0.05,1,H1375=0,0)</f>
        <v>1</v>
      </c>
      <c r="Z1375">
        <f t="shared" si="152"/>
        <v>11</v>
      </c>
      <c r="AA1375">
        <f t="shared" si="153"/>
        <v>2023</v>
      </c>
    </row>
    <row r="1376" spans="1:27" x14ac:dyDescent="0.3">
      <c r="A1376" s="2">
        <v>45058</v>
      </c>
      <c r="B1376" t="s">
        <v>29</v>
      </c>
      <c r="C1376" t="s">
        <v>81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65</v>
      </c>
      <c r="L1376" t="s">
        <v>25</v>
      </c>
      <c r="M1376">
        <v>0</v>
      </c>
      <c r="N1376" t="s">
        <v>2701</v>
      </c>
      <c r="O1376" t="s">
        <v>2702</v>
      </c>
      <c r="P1376">
        <v>23.25</v>
      </c>
      <c r="Q1376" s="2">
        <v>45058</v>
      </c>
      <c r="R1376" s="2">
        <v>45066</v>
      </c>
      <c r="S1376" t="s">
        <v>38</v>
      </c>
      <c r="T1376">
        <f t="shared" si="147"/>
        <v>1611.33</v>
      </c>
      <c r="U1376">
        <f t="shared" si="148"/>
        <v>0</v>
      </c>
      <c r="V1376">
        <f t="shared" si="149"/>
        <v>1588.08</v>
      </c>
      <c r="W1376">
        <f t="shared" si="150"/>
        <v>0</v>
      </c>
      <c r="X1376">
        <f t="shared" si="151"/>
        <v>8</v>
      </c>
      <c r="Y1376" cm="1">
        <f t="array" ref="Y1376">_xlfn.IFS(H1376=0.1,1,H1376=0.15,1,H1376=0.05,1,H1376=0,0)</f>
        <v>0</v>
      </c>
      <c r="Z1376">
        <f t="shared" si="152"/>
        <v>0</v>
      </c>
      <c r="AA1376">
        <f t="shared" si="153"/>
        <v>2023</v>
      </c>
    </row>
    <row r="1377" spans="1:27" x14ac:dyDescent="0.3">
      <c r="A1377" s="2">
        <v>45771</v>
      </c>
      <c r="B1377" t="s">
        <v>71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2703</v>
      </c>
      <c r="O1377" t="s">
        <v>2704</v>
      </c>
      <c r="P1377">
        <v>44.91</v>
      </c>
      <c r="Q1377" s="2">
        <v>45771</v>
      </c>
      <c r="R1377" s="2">
        <v>45774</v>
      </c>
      <c r="S1377" t="s">
        <v>74</v>
      </c>
      <c r="T1377">
        <f t="shared" si="147"/>
        <v>1653.7350000000001</v>
      </c>
      <c r="U1377">
        <f t="shared" si="148"/>
        <v>5</v>
      </c>
      <c r="V1377">
        <f t="shared" si="149"/>
        <v>1693.5</v>
      </c>
      <c r="W1377">
        <f t="shared" si="150"/>
        <v>84.674999999999955</v>
      </c>
      <c r="X1377">
        <f t="shared" si="151"/>
        <v>3</v>
      </c>
      <c r="Y1377" cm="1">
        <f t="array" ref="Y1377">_xlfn.IFS(H1377=0.1,1,H1377=0.15,1,H1377=0.05,1,H1377=0,0)</f>
        <v>1</v>
      </c>
      <c r="Z1377">
        <f t="shared" si="152"/>
        <v>10</v>
      </c>
      <c r="AA1377">
        <f t="shared" si="153"/>
        <v>2025</v>
      </c>
    </row>
    <row r="1378" spans="1:27" x14ac:dyDescent="0.3">
      <c r="A1378" s="2">
        <v>45039</v>
      </c>
      <c r="B1378" t="s">
        <v>45</v>
      </c>
      <c r="C1378" t="s">
        <v>81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62</v>
      </c>
      <c r="L1378" t="s">
        <v>25</v>
      </c>
      <c r="M1378">
        <v>1</v>
      </c>
      <c r="N1378" t="s">
        <v>2705</v>
      </c>
      <c r="O1378" t="s">
        <v>2706</v>
      </c>
      <c r="P1378">
        <v>36.68</v>
      </c>
      <c r="Q1378" s="2">
        <v>45039</v>
      </c>
      <c r="R1378" s="2">
        <v>45049</v>
      </c>
      <c r="S1378" t="s">
        <v>50</v>
      </c>
      <c r="T1378">
        <f t="shared" si="147"/>
        <v>2948.442</v>
      </c>
      <c r="U1378">
        <f t="shared" si="148"/>
        <v>5</v>
      </c>
      <c r="V1378">
        <f t="shared" si="149"/>
        <v>3063.96</v>
      </c>
      <c r="W1378">
        <f t="shared" si="150"/>
        <v>153.19799999999987</v>
      </c>
      <c r="X1378">
        <f t="shared" si="151"/>
        <v>10</v>
      </c>
      <c r="Y1378" cm="1">
        <f t="array" ref="Y1378">_xlfn.IFS(H1378=0.1,1,H1378=0.15,1,H1378=0.05,1,H1378=0,0)</f>
        <v>1</v>
      </c>
      <c r="Z1378">
        <f t="shared" si="152"/>
        <v>9</v>
      </c>
      <c r="AA1378">
        <f t="shared" si="153"/>
        <v>2023</v>
      </c>
    </row>
    <row r="1379" spans="1:27" x14ac:dyDescent="0.3">
      <c r="A1379" s="2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2707</v>
      </c>
      <c r="O1379" t="s">
        <v>2576</v>
      </c>
      <c r="P1379">
        <v>44.99</v>
      </c>
      <c r="Q1379" s="2">
        <v>44944</v>
      </c>
      <c r="R1379" s="2">
        <v>44947</v>
      </c>
      <c r="S1379" t="s">
        <v>44</v>
      </c>
      <c r="T1379">
        <f t="shared" si="147"/>
        <v>159.18</v>
      </c>
      <c r="U1379">
        <f t="shared" si="148"/>
        <v>5</v>
      </c>
      <c r="V1379">
        <f t="shared" si="149"/>
        <v>120.2</v>
      </c>
      <c r="W1379">
        <f t="shared" si="150"/>
        <v>6.0100000000000051</v>
      </c>
      <c r="X1379">
        <f t="shared" si="151"/>
        <v>3</v>
      </c>
      <c r="Y1379" cm="1">
        <f t="array" ref="Y1379">_xlfn.IFS(H1379=0.1,1,H1379=0.15,1,H1379=0.05,1,H1379=0,0)</f>
        <v>1</v>
      </c>
      <c r="Z1379">
        <f t="shared" si="152"/>
        <v>1</v>
      </c>
      <c r="AA1379">
        <f t="shared" si="153"/>
        <v>2023</v>
      </c>
    </row>
    <row r="1380" spans="1:27" x14ac:dyDescent="0.3">
      <c r="A1380" s="2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L1380" t="s">
        <v>59</v>
      </c>
      <c r="M1380">
        <v>0</v>
      </c>
      <c r="N1380" t="s">
        <v>2708</v>
      </c>
      <c r="O1380" t="s">
        <v>2709</v>
      </c>
      <c r="P1380">
        <v>6.81</v>
      </c>
      <c r="Q1380" s="2">
        <v>45788</v>
      </c>
      <c r="R1380" s="2">
        <v>45798</v>
      </c>
      <c r="S1380" t="s">
        <v>44</v>
      </c>
      <c r="T1380">
        <f t="shared" si="147"/>
        <v>1878.5694999999998</v>
      </c>
      <c r="U1380">
        <f t="shared" si="148"/>
        <v>15</v>
      </c>
      <c r="V1380">
        <f t="shared" si="149"/>
        <v>2202.0699999999997</v>
      </c>
      <c r="W1380">
        <f t="shared" si="150"/>
        <v>330.31049999999982</v>
      </c>
      <c r="X1380">
        <f t="shared" si="151"/>
        <v>10</v>
      </c>
      <c r="Y1380" cm="1">
        <f t="array" ref="Y1380">_xlfn.IFS(H1380=0.1,1,H1380=0.15,1,H1380=0.05,1,H1380=0,0)</f>
        <v>1</v>
      </c>
      <c r="Z1380">
        <f t="shared" si="152"/>
        <v>13</v>
      </c>
      <c r="AA1380">
        <f t="shared" si="153"/>
        <v>2025</v>
      </c>
    </row>
    <row r="1381" spans="1:27" x14ac:dyDescent="0.3">
      <c r="A1381" s="2">
        <v>45649</v>
      </c>
      <c r="B1381" t="s">
        <v>71</v>
      </c>
      <c r="C1381" t="s">
        <v>81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2710</v>
      </c>
      <c r="O1381" t="s">
        <v>2711</v>
      </c>
      <c r="P1381">
        <v>29.18</v>
      </c>
      <c r="Q1381" s="2">
        <v>45649</v>
      </c>
      <c r="R1381" s="2">
        <v>45659</v>
      </c>
      <c r="S1381" t="s">
        <v>74</v>
      </c>
      <c r="T1381">
        <f t="shared" si="147"/>
        <v>1651.02</v>
      </c>
      <c r="U1381">
        <f t="shared" si="148"/>
        <v>5</v>
      </c>
      <c r="V1381">
        <f t="shared" si="149"/>
        <v>1707.2</v>
      </c>
      <c r="W1381">
        <f t="shared" si="150"/>
        <v>85.360000000000127</v>
      </c>
      <c r="X1381">
        <f t="shared" si="151"/>
        <v>10</v>
      </c>
      <c r="Y1381" cm="1">
        <f t="array" ref="Y1381">_xlfn.IFS(H1381=0.1,1,H1381=0.15,1,H1381=0.05,1,H1381=0,0)</f>
        <v>1</v>
      </c>
      <c r="Z1381">
        <f t="shared" si="152"/>
        <v>10</v>
      </c>
      <c r="AA1381">
        <f t="shared" si="153"/>
        <v>2024</v>
      </c>
    </row>
    <row r="1382" spans="1:27" x14ac:dyDescent="0.3">
      <c r="A1382" s="2">
        <v>45158</v>
      </c>
      <c r="B1382" t="s">
        <v>71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62</v>
      </c>
      <c r="L1382" t="s">
        <v>59</v>
      </c>
      <c r="M1382">
        <v>0</v>
      </c>
      <c r="N1382" t="s">
        <v>2712</v>
      </c>
      <c r="O1382" t="s">
        <v>2713</v>
      </c>
      <c r="P1382">
        <v>6.36</v>
      </c>
      <c r="Q1382" s="2">
        <v>45158</v>
      </c>
      <c r="R1382" s="2">
        <v>45166</v>
      </c>
      <c r="S1382" t="s">
        <v>74</v>
      </c>
      <c r="T1382">
        <f t="shared" si="147"/>
        <v>2483.2004999999999</v>
      </c>
      <c r="U1382">
        <f t="shared" si="148"/>
        <v>15</v>
      </c>
      <c r="V1382">
        <f t="shared" si="149"/>
        <v>2913.93</v>
      </c>
      <c r="W1382">
        <f t="shared" si="150"/>
        <v>437.08950000000004</v>
      </c>
      <c r="X1382">
        <f t="shared" si="151"/>
        <v>8</v>
      </c>
      <c r="Y1382" cm="1">
        <f t="array" ref="Y1382">_xlfn.IFS(H1382=0.1,1,H1382=0.15,1,H1382=0.05,1,H1382=0,0)</f>
        <v>1</v>
      </c>
      <c r="Z1382">
        <f t="shared" si="152"/>
        <v>9</v>
      </c>
      <c r="AA1382">
        <f t="shared" si="153"/>
        <v>2023</v>
      </c>
    </row>
    <row r="1383" spans="1:27" x14ac:dyDescent="0.3">
      <c r="A1383" s="2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68</v>
      </c>
      <c r="J1383">
        <v>1927.44</v>
      </c>
      <c r="K1383" t="s">
        <v>24</v>
      </c>
      <c r="L1383" t="s">
        <v>25</v>
      </c>
      <c r="M1383">
        <v>0</v>
      </c>
      <c r="N1383" t="s">
        <v>2714</v>
      </c>
      <c r="O1383" t="s">
        <v>2715</v>
      </c>
      <c r="P1383">
        <v>21.92</v>
      </c>
      <c r="Q1383" s="2">
        <v>45734</v>
      </c>
      <c r="R1383" s="2">
        <v>45739</v>
      </c>
      <c r="S1383" t="s">
        <v>50</v>
      </c>
      <c r="T1383">
        <f t="shared" si="147"/>
        <v>1949.3600000000001</v>
      </c>
      <c r="U1383">
        <f t="shared" si="148"/>
        <v>0</v>
      </c>
      <c r="V1383">
        <f t="shared" si="149"/>
        <v>1927.44</v>
      </c>
      <c r="W1383">
        <f t="shared" si="150"/>
        <v>0</v>
      </c>
      <c r="X1383">
        <f t="shared" si="151"/>
        <v>5</v>
      </c>
      <c r="Y1383" cm="1">
        <f t="array" ref="Y1383">_xlfn.IFS(H1383=0.1,1,H1383=0.15,1,H1383=0.05,1,H1383=0,0)</f>
        <v>0</v>
      </c>
      <c r="Z1383">
        <f t="shared" si="152"/>
        <v>0</v>
      </c>
      <c r="AA1383">
        <f t="shared" si="153"/>
        <v>2025</v>
      </c>
    </row>
    <row r="1384" spans="1:27" x14ac:dyDescent="0.3">
      <c r="A1384" s="2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L1384" t="s">
        <v>59</v>
      </c>
      <c r="M1384">
        <v>0</v>
      </c>
      <c r="N1384" t="s">
        <v>2716</v>
      </c>
      <c r="O1384" t="s">
        <v>2717</v>
      </c>
      <c r="P1384">
        <v>14.03</v>
      </c>
      <c r="Q1384" s="2">
        <v>45307</v>
      </c>
      <c r="R1384" s="2">
        <v>45315</v>
      </c>
      <c r="S1384" t="s">
        <v>50</v>
      </c>
      <c r="T1384">
        <f t="shared" si="147"/>
        <v>326.22999999999996</v>
      </c>
      <c r="U1384">
        <f t="shared" si="148"/>
        <v>0</v>
      </c>
      <c r="V1384">
        <f t="shared" si="149"/>
        <v>312.2</v>
      </c>
      <c r="W1384">
        <f t="shared" si="150"/>
        <v>0</v>
      </c>
      <c r="X1384">
        <f t="shared" si="151"/>
        <v>8</v>
      </c>
      <c r="Y1384" cm="1">
        <f t="array" ref="Y1384">_xlfn.IFS(H1384=0.1,1,H1384=0.15,1,H1384=0.05,1,H1384=0,0)</f>
        <v>0</v>
      </c>
      <c r="Z1384">
        <f t="shared" si="152"/>
        <v>0</v>
      </c>
      <c r="AA1384">
        <f t="shared" si="153"/>
        <v>2024</v>
      </c>
    </row>
    <row r="1385" spans="1:27" x14ac:dyDescent="0.3">
      <c r="A1385" s="2">
        <v>45441</v>
      </c>
      <c r="B1385" t="s">
        <v>19</v>
      </c>
      <c r="C1385" t="s">
        <v>81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309.95999999999998</v>
      </c>
      <c r="K1385" t="s">
        <v>62</v>
      </c>
      <c r="L1385" t="s">
        <v>25</v>
      </c>
      <c r="M1385">
        <v>0</v>
      </c>
      <c r="N1385" t="s">
        <v>2718</v>
      </c>
      <c r="O1385" t="s">
        <v>2719</v>
      </c>
      <c r="P1385">
        <v>26.42</v>
      </c>
      <c r="Q1385" s="2">
        <v>45441</v>
      </c>
      <c r="R1385" s="2">
        <v>45451</v>
      </c>
      <c r="S1385" t="s">
        <v>28</v>
      </c>
      <c r="T1385">
        <f t="shared" si="147"/>
        <v>336.38</v>
      </c>
      <c r="U1385">
        <f t="shared" si="148"/>
        <v>10</v>
      </c>
      <c r="V1385">
        <f t="shared" si="149"/>
        <v>344.4</v>
      </c>
      <c r="W1385">
        <f t="shared" si="150"/>
        <v>34.44</v>
      </c>
      <c r="X1385">
        <f t="shared" si="151"/>
        <v>10</v>
      </c>
      <c r="Y1385" cm="1">
        <f t="array" ref="Y1385">_xlfn.IFS(H1385=0.1,1,H1385=0.15,1,H1385=0.05,1,H1385=0,0)</f>
        <v>1</v>
      </c>
      <c r="Z1385">
        <f t="shared" si="152"/>
        <v>6</v>
      </c>
      <c r="AA1385">
        <f t="shared" si="153"/>
        <v>2024</v>
      </c>
    </row>
    <row r="1386" spans="1:27" x14ac:dyDescent="0.3">
      <c r="A1386" s="2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L1386" t="s">
        <v>59</v>
      </c>
      <c r="M1386">
        <v>0</v>
      </c>
      <c r="N1386" t="s">
        <v>2720</v>
      </c>
      <c r="O1386" t="s">
        <v>2721</v>
      </c>
      <c r="P1386">
        <v>40.76</v>
      </c>
      <c r="Q1386" s="2">
        <v>45741</v>
      </c>
      <c r="R1386" s="2">
        <v>45743</v>
      </c>
      <c r="S1386" t="s">
        <v>38</v>
      </c>
      <c r="T1386">
        <f t="shared" si="147"/>
        <v>3521.3570000000004</v>
      </c>
      <c r="U1386">
        <f t="shared" si="148"/>
        <v>15</v>
      </c>
      <c r="V1386">
        <f t="shared" si="149"/>
        <v>4094.82</v>
      </c>
      <c r="W1386">
        <f t="shared" si="150"/>
        <v>614.22299999999996</v>
      </c>
      <c r="X1386">
        <f t="shared" si="151"/>
        <v>2</v>
      </c>
      <c r="Y1386" cm="1">
        <f t="array" ref="Y1386">_xlfn.IFS(H1386=0.1,1,H1386=0.15,1,H1386=0.05,1,H1386=0,0)</f>
        <v>1</v>
      </c>
      <c r="Z1386">
        <f t="shared" si="152"/>
        <v>9</v>
      </c>
      <c r="AA1386">
        <f t="shared" si="153"/>
        <v>2025</v>
      </c>
    </row>
    <row r="1387" spans="1:27" x14ac:dyDescent="0.3">
      <c r="A1387" s="2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68</v>
      </c>
      <c r="J1387">
        <v>3822.0875000000001</v>
      </c>
      <c r="K1387" t="s">
        <v>62</v>
      </c>
      <c r="L1387" t="s">
        <v>25</v>
      </c>
      <c r="M1387">
        <v>1</v>
      </c>
      <c r="N1387" t="s">
        <v>2722</v>
      </c>
      <c r="O1387" t="s">
        <v>2723</v>
      </c>
      <c r="P1387">
        <v>8.3699999999999992</v>
      </c>
      <c r="Q1387" s="2">
        <v>45738</v>
      </c>
      <c r="R1387" s="2">
        <v>45743</v>
      </c>
      <c r="S1387" t="s">
        <v>50</v>
      </c>
      <c r="T1387">
        <f t="shared" si="147"/>
        <v>3831.4575</v>
      </c>
      <c r="U1387">
        <f t="shared" si="148"/>
        <v>5</v>
      </c>
      <c r="V1387">
        <f t="shared" si="149"/>
        <v>4023.25</v>
      </c>
      <c r="W1387">
        <f t="shared" si="150"/>
        <v>201.16249999999991</v>
      </c>
      <c r="X1387">
        <f t="shared" si="151"/>
        <v>5</v>
      </c>
      <c r="Y1387" cm="1">
        <f t="array" ref="Y1387">_xlfn.IFS(H1387=0.1,1,H1387=0.15,1,H1387=0.05,1,H1387=0,0)</f>
        <v>1</v>
      </c>
      <c r="Z1387">
        <f t="shared" si="152"/>
        <v>11</v>
      </c>
      <c r="AA1387">
        <f t="shared" si="153"/>
        <v>2025</v>
      </c>
    </row>
    <row r="1388" spans="1:27" x14ac:dyDescent="0.3">
      <c r="A1388" s="2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65</v>
      </c>
      <c r="L1388" t="s">
        <v>41</v>
      </c>
      <c r="M1388">
        <v>1</v>
      </c>
      <c r="N1388" t="s">
        <v>2724</v>
      </c>
      <c r="O1388" t="s">
        <v>2725</v>
      </c>
      <c r="P1388">
        <v>26.12</v>
      </c>
      <c r="Q1388" s="2">
        <v>45521</v>
      </c>
      <c r="R1388" s="2">
        <v>45528</v>
      </c>
      <c r="S1388" t="s">
        <v>28</v>
      </c>
      <c r="T1388">
        <f t="shared" si="147"/>
        <v>737.87199999999996</v>
      </c>
      <c r="U1388">
        <f t="shared" si="148"/>
        <v>5</v>
      </c>
      <c r="V1388">
        <f t="shared" si="149"/>
        <v>748.16</v>
      </c>
      <c r="W1388">
        <f t="shared" si="150"/>
        <v>37.408000000000015</v>
      </c>
      <c r="X1388">
        <f t="shared" si="151"/>
        <v>7</v>
      </c>
      <c r="Y1388" cm="1">
        <f t="array" ref="Y1388">_xlfn.IFS(H1388=0.1,1,H1388=0.15,1,H1388=0.05,1,H1388=0,0)</f>
        <v>1</v>
      </c>
      <c r="Z1388">
        <f t="shared" si="152"/>
        <v>7</v>
      </c>
      <c r="AA1388">
        <f t="shared" si="153"/>
        <v>2024</v>
      </c>
    </row>
    <row r="1389" spans="1:27" x14ac:dyDescent="0.3">
      <c r="A1389" s="2">
        <v>45445</v>
      </c>
      <c r="B1389" t="s">
        <v>29</v>
      </c>
      <c r="C1389" t="s">
        <v>132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2726</v>
      </c>
      <c r="O1389" t="s">
        <v>2727</v>
      </c>
      <c r="P1389">
        <v>18.8</v>
      </c>
      <c r="Q1389" s="2">
        <v>45445</v>
      </c>
      <c r="R1389" s="2">
        <v>45455</v>
      </c>
      <c r="S1389" t="s">
        <v>38</v>
      </c>
      <c r="T1389">
        <f t="shared" si="147"/>
        <v>470.56400000000002</v>
      </c>
      <c r="U1389">
        <f t="shared" si="148"/>
        <v>10</v>
      </c>
      <c r="V1389">
        <f t="shared" si="149"/>
        <v>501.96</v>
      </c>
      <c r="W1389">
        <f t="shared" si="150"/>
        <v>50.19599999999997</v>
      </c>
      <c r="X1389">
        <f t="shared" si="151"/>
        <v>10</v>
      </c>
      <c r="Y1389" cm="1">
        <f t="array" ref="Y1389">_xlfn.IFS(H1389=0.1,1,H1389=0.15,1,H1389=0.05,1,H1389=0,0)</f>
        <v>1</v>
      </c>
      <c r="Z1389">
        <f t="shared" si="152"/>
        <v>2</v>
      </c>
      <c r="AA1389">
        <f t="shared" si="153"/>
        <v>2024</v>
      </c>
    </row>
    <row r="1390" spans="1:27" x14ac:dyDescent="0.3">
      <c r="A1390" s="2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L1390" t="s">
        <v>59</v>
      </c>
      <c r="M1390">
        <v>1</v>
      </c>
      <c r="N1390" t="s">
        <v>2728</v>
      </c>
      <c r="O1390" t="s">
        <v>2729</v>
      </c>
      <c r="P1390">
        <v>45.14</v>
      </c>
      <c r="Q1390" s="2">
        <v>45016</v>
      </c>
      <c r="R1390" s="2">
        <v>45026</v>
      </c>
      <c r="S1390" t="s">
        <v>38</v>
      </c>
      <c r="T1390">
        <f t="shared" si="147"/>
        <v>4303.4279999999999</v>
      </c>
      <c r="U1390">
        <f t="shared" si="148"/>
        <v>10</v>
      </c>
      <c r="V1390">
        <f t="shared" si="149"/>
        <v>4730.32</v>
      </c>
      <c r="W1390">
        <f t="shared" si="150"/>
        <v>473.03200000000015</v>
      </c>
      <c r="X1390">
        <f t="shared" si="151"/>
        <v>10</v>
      </c>
      <c r="Y1390" cm="1">
        <f t="array" ref="Y1390">_xlfn.IFS(H1390=0.1,1,H1390=0.15,1,H1390=0.05,1,H1390=0,0)</f>
        <v>1</v>
      </c>
      <c r="Z1390">
        <f t="shared" si="152"/>
        <v>8</v>
      </c>
      <c r="AA1390">
        <f t="shared" si="153"/>
        <v>2023</v>
      </c>
    </row>
    <row r="1391" spans="1:27" x14ac:dyDescent="0.3">
      <c r="A1391" s="2">
        <v>45431</v>
      </c>
      <c r="B1391" t="s">
        <v>71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65</v>
      </c>
      <c r="L1391" t="s">
        <v>25</v>
      </c>
      <c r="M1391">
        <v>1</v>
      </c>
      <c r="N1391" t="s">
        <v>2730</v>
      </c>
      <c r="O1391" t="s">
        <v>2731</v>
      </c>
      <c r="P1391">
        <v>16.399999999999999</v>
      </c>
      <c r="Q1391" s="2">
        <v>45431</v>
      </c>
      <c r="R1391" s="2">
        <v>45435</v>
      </c>
      <c r="S1391" t="s">
        <v>74</v>
      </c>
      <c r="T1391">
        <f t="shared" si="147"/>
        <v>6340.8089999999993</v>
      </c>
      <c r="U1391">
        <f t="shared" si="148"/>
        <v>5</v>
      </c>
      <c r="V1391">
        <f t="shared" si="149"/>
        <v>6656.22</v>
      </c>
      <c r="W1391">
        <f t="shared" si="150"/>
        <v>332.8110000000006</v>
      </c>
      <c r="X1391">
        <f t="shared" si="151"/>
        <v>4</v>
      </c>
      <c r="Y1391" cm="1">
        <f t="array" ref="Y1391">_xlfn.IFS(H1391=0.1,1,H1391=0.15,1,H1391=0.05,1,H1391=0,0)</f>
        <v>1</v>
      </c>
      <c r="Z1391">
        <f t="shared" si="152"/>
        <v>18</v>
      </c>
      <c r="AA1391">
        <f t="shared" si="153"/>
        <v>2024</v>
      </c>
    </row>
    <row r="1392" spans="1:27" x14ac:dyDescent="0.3">
      <c r="A1392" s="2">
        <v>44987</v>
      </c>
      <c r="B1392" t="s">
        <v>71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62</v>
      </c>
      <c r="L1392" t="s">
        <v>35</v>
      </c>
      <c r="M1392">
        <v>0</v>
      </c>
      <c r="N1392" t="s">
        <v>2732</v>
      </c>
      <c r="O1392" t="s">
        <v>2733</v>
      </c>
      <c r="P1392">
        <v>9.86</v>
      </c>
      <c r="Q1392" s="2">
        <v>44987</v>
      </c>
      <c r="R1392" s="2">
        <v>44990</v>
      </c>
      <c r="S1392" t="s">
        <v>74</v>
      </c>
      <c r="T1392">
        <f t="shared" si="147"/>
        <v>2254.1</v>
      </c>
      <c r="U1392">
        <f t="shared" si="148"/>
        <v>10</v>
      </c>
      <c r="V1392">
        <f t="shared" si="149"/>
        <v>2493.6000000000004</v>
      </c>
      <c r="W1392">
        <f t="shared" si="150"/>
        <v>249.36000000000058</v>
      </c>
      <c r="X1392">
        <f t="shared" si="151"/>
        <v>3</v>
      </c>
      <c r="Y1392" cm="1">
        <f t="array" ref="Y1392">_xlfn.IFS(H1392=0.1,1,H1392=0.15,1,H1392=0.05,1,H1392=0,0)</f>
        <v>1</v>
      </c>
      <c r="Z1392">
        <f t="shared" si="152"/>
        <v>15</v>
      </c>
      <c r="AA1392">
        <f t="shared" si="153"/>
        <v>2023</v>
      </c>
    </row>
    <row r="1393" spans="1:27" x14ac:dyDescent="0.3">
      <c r="A1393" s="2">
        <v>44998</v>
      </c>
      <c r="B1393" t="s">
        <v>39</v>
      </c>
      <c r="C1393" t="s">
        <v>132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L1393" t="s">
        <v>59</v>
      </c>
      <c r="M1393">
        <v>0</v>
      </c>
      <c r="N1393" t="s">
        <v>2734</v>
      </c>
      <c r="O1393" t="s">
        <v>2735</v>
      </c>
      <c r="P1393">
        <v>20.92</v>
      </c>
      <c r="Q1393" s="2">
        <v>44998</v>
      </c>
      <c r="R1393" s="2">
        <v>45007</v>
      </c>
      <c r="S1393" t="s">
        <v>44</v>
      </c>
      <c r="T1393">
        <f t="shared" si="147"/>
        <v>2680.672</v>
      </c>
      <c r="U1393">
        <f t="shared" si="148"/>
        <v>15</v>
      </c>
      <c r="V1393">
        <f t="shared" si="149"/>
        <v>3129.12</v>
      </c>
      <c r="W1393">
        <f t="shared" si="150"/>
        <v>469.36799999999994</v>
      </c>
      <c r="X1393">
        <f t="shared" si="151"/>
        <v>9</v>
      </c>
      <c r="Y1393" cm="1">
        <f t="array" ref="Y1393">_xlfn.IFS(H1393=0.1,1,H1393=0.15,1,H1393=0.05,1,H1393=0,0)</f>
        <v>1</v>
      </c>
      <c r="Z1393">
        <f t="shared" si="152"/>
        <v>12</v>
      </c>
      <c r="AA1393">
        <f t="shared" si="153"/>
        <v>2023</v>
      </c>
    </row>
    <row r="1394" spans="1:27" x14ac:dyDescent="0.3">
      <c r="A1394" s="2">
        <v>45763</v>
      </c>
      <c r="B1394" t="s">
        <v>71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L1394" t="s">
        <v>59</v>
      </c>
      <c r="M1394">
        <v>1</v>
      </c>
      <c r="N1394" t="s">
        <v>2736</v>
      </c>
      <c r="O1394" t="s">
        <v>2737</v>
      </c>
      <c r="P1394">
        <v>42.79</v>
      </c>
      <c r="Q1394" s="2">
        <v>45763</v>
      </c>
      <c r="R1394" s="2">
        <v>45765</v>
      </c>
      <c r="S1394" t="s">
        <v>74</v>
      </c>
      <c r="T1394">
        <f t="shared" si="147"/>
        <v>3355.7750000000001</v>
      </c>
      <c r="U1394">
        <f t="shared" si="148"/>
        <v>5</v>
      </c>
      <c r="V1394">
        <f t="shared" si="149"/>
        <v>3486.3</v>
      </c>
      <c r="W1394">
        <f t="shared" si="150"/>
        <v>174.31500000000005</v>
      </c>
      <c r="X1394">
        <f t="shared" si="151"/>
        <v>2</v>
      </c>
      <c r="Y1394" cm="1">
        <f t="array" ref="Y1394">_xlfn.IFS(H1394=0.1,1,H1394=0.15,1,H1394=0.05,1,H1394=0,0)</f>
        <v>1</v>
      </c>
      <c r="Z1394">
        <f t="shared" si="152"/>
        <v>10</v>
      </c>
      <c r="AA1394">
        <f t="shared" si="153"/>
        <v>2025</v>
      </c>
    </row>
    <row r="1395" spans="1:27" x14ac:dyDescent="0.3">
      <c r="A1395" s="2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2738</v>
      </c>
      <c r="O1395" t="s">
        <v>2739</v>
      </c>
      <c r="P1395">
        <v>30.69</v>
      </c>
      <c r="Q1395" s="2">
        <v>45448</v>
      </c>
      <c r="R1395" s="2">
        <v>45458</v>
      </c>
      <c r="S1395" t="s">
        <v>44</v>
      </c>
      <c r="T1395">
        <f t="shared" si="147"/>
        <v>2398.09</v>
      </c>
      <c r="U1395">
        <f t="shared" si="148"/>
        <v>0</v>
      </c>
      <c r="V1395">
        <f t="shared" si="149"/>
        <v>2366.3999999999996</v>
      </c>
      <c r="W1395">
        <f t="shared" si="150"/>
        <v>0</v>
      </c>
      <c r="X1395">
        <f t="shared" si="151"/>
        <v>10</v>
      </c>
      <c r="Y1395" cm="1">
        <f t="array" ref="Y1395">_xlfn.IFS(H1395=0.1,1,H1395=0.15,1,H1395=0.05,1,H1395=0,0)</f>
        <v>0</v>
      </c>
      <c r="Z1395">
        <f t="shared" si="152"/>
        <v>0</v>
      </c>
      <c r="AA1395">
        <f t="shared" si="153"/>
        <v>2024</v>
      </c>
    </row>
    <row r="1396" spans="1:27" x14ac:dyDescent="0.3">
      <c r="A1396" s="2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65</v>
      </c>
      <c r="L1396" t="s">
        <v>25</v>
      </c>
      <c r="M1396">
        <v>0</v>
      </c>
      <c r="N1396" t="s">
        <v>2740</v>
      </c>
      <c r="O1396" t="s">
        <v>1309</v>
      </c>
      <c r="P1396">
        <v>21.54</v>
      </c>
      <c r="Q1396" s="2">
        <v>45536</v>
      </c>
      <c r="R1396" s="2">
        <v>45540</v>
      </c>
      <c r="S1396" t="s">
        <v>44</v>
      </c>
      <c r="T1396">
        <f t="shared" si="147"/>
        <v>6450.82</v>
      </c>
      <c r="U1396">
        <f t="shared" si="148"/>
        <v>0</v>
      </c>
      <c r="V1396">
        <f t="shared" si="149"/>
        <v>6429.28</v>
      </c>
      <c r="W1396">
        <f t="shared" si="150"/>
        <v>0</v>
      </c>
      <c r="X1396">
        <f t="shared" si="151"/>
        <v>4</v>
      </c>
      <c r="Y1396" cm="1">
        <f t="array" ref="Y1396">_xlfn.IFS(H1396=0.1,1,H1396=0.15,1,H1396=0.05,1,H1396=0,0)</f>
        <v>0</v>
      </c>
      <c r="Z1396">
        <f t="shared" si="152"/>
        <v>0</v>
      </c>
      <c r="AA1396">
        <f t="shared" si="153"/>
        <v>2024</v>
      </c>
    </row>
    <row r="1397" spans="1:27" x14ac:dyDescent="0.3">
      <c r="A1397" s="2">
        <v>45556</v>
      </c>
      <c r="B1397" t="s">
        <v>39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62</v>
      </c>
      <c r="L1397" t="s">
        <v>35</v>
      </c>
      <c r="M1397">
        <v>0</v>
      </c>
      <c r="N1397" t="s">
        <v>2741</v>
      </c>
      <c r="O1397" t="s">
        <v>2482</v>
      </c>
      <c r="P1397">
        <v>14.09</v>
      </c>
      <c r="Q1397" s="2">
        <v>45556</v>
      </c>
      <c r="R1397" s="2">
        <v>45565</v>
      </c>
      <c r="S1397" t="s">
        <v>44</v>
      </c>
      <c r="T1397">
        <f t="shared" si="147"/>
        <v>2706.9900000000002</v>
      </c>
      <c r="U1397">
        <f t="shared" si="148"/>
        <v>0</v>
      </c>
      <c r="V1397">
        <f t="shared" si="149"/>
        <v>2692.9</v>
      </c>
      <c r="W1397">
        <f t="shared" si="150"/>
        <v>0</v>
      </c>
      <c r="X1397">
        <f t="shared" si="151"/>
        <v>9</v>
      </c>
      <c r="Y1397" cm="1">
        <f t="array" ref="Y1397">_xlfn.IFS(H1397=0.1,1,H1397=0.15,1,H1397=0.05,1,H1397=0,0)</f>
        <v>0</v>
      </c>
      <c r="Z1397">
        <f t="shared" si="152"/>
        <v>0</v>
      </c>
      <c r="AA1397">
        <f t="shared" si="153"/>
        <v>2024</v>
      </c>
    </row>
    <row r="1398" spans="1:27" x14ac:dyDescent="0.3">
      <c r="A1398" s="2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65</v>
      </c>
      <c r="L1398" t="s">
        <v>59</v>
      </c>
      <c r="M1398">
        <v>0</v>
      </c>
      <c r="N1398" t="s">
        <v>2742</v>
      </c>
      <c r="O1398" t="s">
        <v>2743</v>
      </c>
      <c r="P1398">
        <v>19.53</v>
      </c>
      <c r="Q1398" s="2">
        <v>45668</v>
      </c>
      <c r="R1398" s="2">
        <v>45673</v>
      </c>
      <c r="S1398" t="s">
        <v>44</v>
      </c>
      <c r="T1398">
        <f t="shared" si="147"/>
        <v>1247.0060000000001</v>
      </c>
      <c r="U1398">
        <f t="shared" si="148"/>
        <v>5</v>
      </c>
      <c r="V1398">
        <f t="shared" si="149"/>
        <v>1292.08</v>
      </c>
      <c r="W1398">
        <f t="shared" si="150"/>
        <v>64.603999999999814</v>
      </c>
      <c r="X1398">
        <f t="shared" si="151"/>
        <v>5</v>
      </c>
      <c r="Y1398" cm="1">
        <f t="array" ref="Y1398">_xlfn.IFS(H1398=0.1,1,H1398=0.15,1,H1398=0.05,1,H1398=0,0)</f>
        <v>1</v>
      </c>
      <c r="Z1398">
        <f t="shared" si="152"/>
        <v>4</v>
      </c>
      <c r="AA1398">
        <f t="shared" si="153"/>
        <v>2025</v>
      </c>
    </row>
    <row r="1399" spans="1:27" x14ac:dyDescent="0.3">
      <c r="A1399" s="2">
        <v>44930</v>
      </c>
      <c r="B1399" t="s">
        <v>71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5608.5974999999989</v>
      </c>
      <c r="K1399" t="s">
        <v>24</v>
      </c>
      <c r="L1399" t="s">
        <v>25</v>
      </c>
      <c r="M1399">
        <v>0</v>
      </c>
      <c r="N1399" t="s">
        <v>2744</v>
      </c>
      <c r="O1399" t="s">
        <v>2745</v>
      </c>
      <c r="P1399">
        <v>49.71</v>
      </c>
      <c r="Q1399" s="2">
        <v>44930</v>
      </c>
      <c r="R1399" s="2">
        <v>44934</v>
      </c>
      <c r="S1399" t="s">
        <v>74</v>
      </c>
      <c r="T1399">
        <f t="shared" si="147"/>
        <v>5658.307499999999</v>
      </c>
      <c r="U1399">
        <f t="shared" si="148"/>
        <v>15</v>
      </c>
      <c r="V1399">
        <f t="shared" si="149"/>
        <v>6598.3499999999995</v>
      </c>
      <c r="W1399">
        <f t="shared" si="150"/>
        <v>989.75250000000051</v>
      </c>
      <c r="X1399">
        <f t="shared" si="151"/>
        <v>4</v>
      </c>
      <c r="Y1399" cm="1">
        <f t="array" ref="Y1399">_xlfn.IFS(H1399=0.1,1,H1399=0.15,1,H1399=0.05,1,H1399=0,0)</f>
        <v>1</v>
      </c>
      <c r="Z1399">
        <f t="shared" si="152"/>
        <v>15</v>
      </c>
      <c r="AA1399">
        <f t="shared" si="153"/>
        <v>2023</v>
      </c>
    </row>
    <row r="1400" spans="1:27" x14ac:dyDescent="0.3">
      <c r="A1400" s="2">
        <v>45048</v>
      </c>
      <c r="B1400" t="s">
        <v>71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7342.9679999999989</v>
      </c>
      <c r="K1400" t="s">
        <v>62</v>
      </c>
      <c r="L1400" t="s">
        <v>59</v>
      </c>
      <c r="M1400">
        <v>1</v>
      </c>
      <c r="N1400" t="s">
        <v>2746</v>
      </c>
      <c r="O1400" t="s">
        <v>2512</v>
      </c>
      <c r="P1400">
        <v>37.659999999999997</v>
      </c>
      <c r="Q1400" s="2">
        <v>45048</v>
      </c>
      <c r="R1400" s="2">
        <v>45051</v>
      </c>
      <c r="S1400" t="s">
        <v>74</v>
      </c>
      <c r="T1400">
        <f t="shared" si="147"/>
        <v>7381.6279999999988</v>
      </c>
      <c r="U1400">
        <f t="shared" si="148"/>
        <v>5</v>
      </c>
      <c r="V1400">
        <f t="shared" si="149"/>
        <v>7729.44</v>
      </c>
      <c r="W1400">
        <f t="shared" si="150"/>
        <v>386.47200000000066</v>
      </c>
      <c r="X1400">
        <f t="shared" si="151"/>
        <v>3</v>
      </c>
      <c r="Y1400" cm="1">
        <f t="array" ref="Y1400">_xlfn.IFS(H1400=0.1,1,H1400=0.15,1,H1400=0.05,1,H1400=0,0)</f>
        <v>1</v>
      </c>
      <c r="Z1400">
        <f t="shared" si="152"/>
        <v>16</v>
      </c>
      <c r="AA1400">
        <f t="shared" si="153"/>
        <v>2023</v>
      </c>
    </row>
    <row r="1401" spans="1:27" x14ac:dyDescent="0.3">
      <c r="A1401" s="2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65</v>
      </c>
      <c r="L1401" t="s">
        <v>59</v>
      </c>
      <c r="M1401">
        <v>0</v>
      </c>
      <c r="N1401" t="s">
        <v>2747</v>
      </c>
      <c r="O1401" t="s">
        <v>2748</v>
      </c>
      <c r="P1401">
        <v>22.95</v>
      </c>
      <c r="Q1401" s="2">
        <v>45116</v>
      </c>
      <c r="R1401" s="2">
        <v>45121</v>
      </c>
      <c r="S1401" t="s">
        <v>28</v>
      </c>
      <c r="T1401">
        <f t="shared" si="147"/>
        <v>325.60949999999997</v>
      </c>
      <c r="U1401">
        <f t="shared" si="148"/>
        <v>15</v>
      </c>
      <c r="V1401">
        <f t="shared" si="149"/>
        <v>356.07</v>
      </c>
      <c r="W1401">
        <f t="shared" si="150"/>
        <v>53.410500000000013</v>
      </c>
      <c r="X1401">
        <f t="shared" si="151"/>
        <v>5</v>
      </c>
      <c r="Y1401" cm="1">
        <f t="array" ref="Y1401">_xlfn.IFS(H1401=0.1,1,H1401=0.15,1,H1401=0.05,1,H1401=0,0)</f>
        <v>1</v>
      </c>
      <c r="Z1401">
        <f t="shared" si="152"/>
        <v>13</v>
      </c>
      <c r="AA1401">
        <f t="shared" si="153"/>
        <v>2023</v>
      </c>
    </row>
    <row r="1402" spans="1:27" x14ac:dyDescent="0.3">
      <c r="A1402" s="2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68</v>
      </c>
      <c r="J1402">
        <v>7396.0919999999996</v>
      </c>
      <c r="K1402" t="s">
        <v>58</v>
      </c>
      <c r="L1402" t="s">
        <v>35</v>
      </c>
      <c r="M1402">
        <v>1</v>
      </c>
      <c r="N1402" t="s">
        <v>2749</v>
      </c>
      <c r="O1402" t="s">
        <v>80</v>
      </c>
      <c r="P1402">
        <v>34.19</v>
      </c>
      <c r="Q1402" s="2">
        <v>45715</v>
      </c>
      <c r="R1402" s="2">
        <v>45720</v>
      </c>
      <c r="S1402" t="s">
        <v>28</v>
      </c>
      <c r="T1402">
        <f t="shared" si="147"/>
        <v>7431.2819999999992</v>
      </c>
      <c r="U1402">
        <f t="shared" si="148"/>
        <v>5</v>
      </c>
      <c r="V1402">
        <f t="shared" si="149"/>
        <v>7785.36</v>
      </c>
      <c r="W1402">
        <f t="shared" si="150"/>
        <v>389.26800000000003</v>
      </c>
      <c r="X1402">
        <f t="shared" si="151"/>
        <v>5</v>
      </c>
      <c r="Y1402" cm="1">
        <f t="array" ref="Y1402">_xlfn.IFS(H1402=0.1,1,H1402=0.15,1,H1402=0.05,1,H1402=0,0)</f>
        <v>1</v>
      </c>
      <c r="Z1402">
        <f t="shared" si="152"/>
        <v>18</v>
      </c>
      <c r="AA1402">
        <f t="shared" si="153"/>
        <v>2025</v>
      </c>
    </row>
    <row r="1403" spans="1:27" x14ac:dyDescent="0.3">
      <c r="A1403" s="2">
        <v>45558</v>
      </c>
      <c r="B1403" t="s">
        <v>71</v>
      </c>
      <c r="C1403" t="s">
        <v>132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62</v>
      </c>
      <c r="L1403" t="s">
        <v>41</v>
      </c>
      <c r="M1403">
        <v>0</v>
      </c>
      <c r="N1403" t="s">
        <v>2750</v>
      </c>
      <c r="O1403" t="s">
        <v>2751</v>
      </c>
      <c r="P1403">
        <v>35.61</v>
      </c>
      <c r="Q1403" s="2">
        <v>45558</v>
      </c>
      <c r="R1403" s="2">
        <v>45564</v>
      </c>
      <c r="S1403" t="s">
        <v>74</v>
      </c>
      <c r="T1403">
        <f t="shared" si="147"/>
        <v>955.98149999999998</v>
      </c>
      <c r="U1403">
        <f t="shared" si="148"/>
        <v>15</v>
      </c>
      <c r="V1403">
        <f t="shared" si="149"/>
        <v>1082.79</v>
      </c>
      <c r="W1403">
        <f t="shared" si="150"/>
        <v>162.41849999999999</v>
      </c>
      <c r="X1403">
        <f t="shared" si="151"/>
        <v>6</v>
      </c>
      <c r="Y1403" cm="1">
        <f t="array" ref="Y1403">_xlfn.IFS(H1403=0.1,1,H1403=0.15,1,H1403=0.05,1,H1403=0,0)</f>
        <v>1</v>
      </c>
      <c r="Z1403">
        <f t="shared" si="152"/>
        <v>3</v>
      </c>
      <c r="AA1403">
        <f t="shared" si="153"/>
        <v>2024</v>
      </c>
    </row>
    <row r="1404" spans="1:27" x14ac:dyDescent="0.3">
      <c r="A1404" s="2">
        <v>45830</v>
      </c>
      <c r="B1404" t="s">
        <v>19</v>
      </c>
      <c r="C1404" t="s">
        <v>81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L1404" t="s">
        <v>59</v>
      </c>
      <c r="M1404">
        <v>0</v>
      </c>
      <c r="N1404" t="s">
        <v>2752</v>
      </c>
      <c r="O1404" t="s">
        <v>2753</v>
      </c>
      <c r="P1404">
        <v>14.98</v>
      </c>
      <c r="Q1404" s="2">
        <v>45830</v>
      </c>
      <c r="R1404" s="2">
        <v>45839</v>
      </c>
      <c r="S1404" t="s">
        <v>28</v>
      </c>
      <c r="T1404">
        <f t="shared" si="147"/>
        <v>1880.59</v>
      </c>
      <c r="U1404">
        <f t="shared" si="148"/>
        <v>10</v>
      </c>
      <c r="V1404">
        <f t="shared" si="149"/>
        <v>2072.9</v>
      </c>
      <c r="W1404">
        <f t="shared" si="150"/>
        <v>207.29000000000019</v>
      </c>
      <c r="X1404">
        <f t="shared" si="151"/>
        <v>9</v>
      </c>
      <c r="Y1404" cm="1">
        <f t="array" ref="Y1404">_xlfn.IFS(H1404=0.1,1,H1404=0.15,1,H1404=0.05,1,H1404=0,0)</f>
        <v>1</v>
      </c>
      <c r="Z1404">
        <f t="shared" si="152"/>
        <v>5</v>
      </c>
      <c r="AA1404">
        <f t="shared" si="153"/>
        <v>2025</v>
      </c>
    </row>
    <row r="1405" spans="1:27" x14ac:dyDescent="0.3">
      <c r="A1405" s="2">
        <v>45676</v>
      </c>
      <c r="B1405" t="s">
        <v>45</v>
      </c>
      <c r="C1405" t="s">
        <v>81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68</v>
      </c>
      <c r="J1405">
        <v>272.16000000000003</v>
      </c>
      <c r="K1405" t="s">
        <v>24</v>
      </c>
      <c r="L1405" t="s">
        <v>25</v>
      </c>
      <c r="M1405">
        <v>0</v>
      </c>
      <c r="N1405" t="s">
        <v>2754</v>
      </c>
      <c r="O1405" t="s">
        <v>2755</v>
      </c>
      <c r="P1405">
        <v>18.72</v>
      </c>
      <c r="Q1405" s="2">
        <v>45676</v>
      </c>
      <c r="R1405" s="2">
        <v>45685</v>
      </c>
      <c r="S1405" t="s">
        <v>50</v>
      </c>
      <c r="T1405">
        <f t="shared" si="147"/>
        <v>290.88</v>
      </c>
      <c r="U1405">
        <f t="shared" si="148"/>
        <v>0</v>
      </c>
      <c r="V1405">
        <f t="shared" si="149"/>
        <v>272.16000000000003</v>
      </c>
      <c r="W1405">
        <f t="shared" si="150"/>
        <v>0</v>
      </c>
      <c r="X1405">
        <f t="shared" si="151"/>
        <v>9</v>
      </c>
      <c r="Y1405" cm="1">
        <f t="array" ref="Y1405">_xlfn.IFS(H1405=0.1,1,H1405=0.15,1,H1405=0.05,1,H1405=0,0)</f>
        <v>0</v>
      </c>
      <c r="Z1405">
        <f t="shared" si="152"/>
        <v>0</v>
      </c>
      <c r="AA1405">
        <f t="shared" si="153"/>
        <v>2025</v>
      </c>
    </row>
    <row r="1406" spans="1:27" x14ac:dyDescent="0.3">
      <c r="A1406" s="2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65</v>
      </c>
      <c r="L1406" t="s">
        <v>59</v>
      </c>
      <c r="M1406">
        <v>0</v>
      </c>
      <c r="N1406" t="s">
        <v>2756</v>
      </c>
      <c r="O1406" t="s">
        <v>2757</v>
      </c>
      <c r="P1406">
        <v>49.59</v>
      </c>
      <c r="Q1406" s="2">
        <v>45691</v>
      </c>
      <c r="R1406" s="2">
        <v>45696</v>
      </c>
      <c r="S1406" t="s">
        <v>28</v>
      </c>
      <c r="T1406">
        <f t="shared" si="147"/>
        <v>3517.5050000000001</v>
      </c>
      <c r="U1406">
        <f t="shared" si="148"/>
        <v>15</v>
      </c>
      <c r="V1406">
        <f t="shared" si="149"/>
        <v>4079.9</v>
      </c>
      <c r="W1406">
        <f t="shared" si="150"/>
        <v>611.98500000000013</v>
      </c>
      <c r="X1406">
        <f t="shared" si="151"/>
        <v>5</v>
      </c>
      <c r="Y1406" cm="1">
        <f t="array" ref="Y1406">_xlfn.IFS(H1406=0.1,1,H1406=0.15,1,H1406=0.05,1,H1406=0,0)</f>
        <v>1</v>
      </c>
      <c r="Z1406">
        <f t="shared" si="152"/>
        <v>10</v>
      </c>
      <c r="AA1406">
        <f t="shared" si="153"/>
        <v>2025</v>
      </c>
    </row>
    <row r="1407" spans="1:27" x14ac:dyDescent="0.3">
      <c r="A1407" s="2">
        <v>45241</v>
      </c>
      <c r="B1407" t="s">
        <v>19</v>
      </c>
      <c r="C1407" t="s">
        <v>81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4121.5499999999993</v>
      </c>
      <c r="K1407" t="s">
        <v>65</v>
      </c>
      <c r="L1407" t="s">
        <v>59</v>
      </c>
      <c r="M1407">
        <v>1</v>
      </c>
      <c r="N1407" t="s">
        <v>2758</v>
      </c>
      <c r="O1407" t="s">
        <v>2759</v>
      </c>
      <c r="P1407">
        <v>19.37</v>
      </c>
      <c r="Q1407" s="2">
        <v>45241</v>
      </c>
      <c r="R1407" s="2">
        <v>45247</v>
      </c>
      <c r="S1407" t="s">
        <v>28</v>
      </c>
      <c r="T1407">
        <f t="shared" si="147"/>
        <v>4141.9199999999992</v>
      </c>
      <c r="U1407">
        <f t="shared" si="148"/>
        <v>0</v>
      </c>
      <c r="V1407">
        <f t="shared" si="149"/>
        <v>4121.5499999999993</v>
      </c>
      <c r="W1407">
        <f t="shared" si="150"/>
        <v>0</v>
      </c>
      <c r="X1407">
        <f t="shared" si="151"/>
        <v>6</v>
      </c>
      <c r="Y1407" cm="1">
        <f t="array" ref="Y1407">_xlfn.IFS(H1407=0.1,1,H1407=0.15,1,H1407=0.05,1,H1407=0,0)</f>
        <v>0</v>
      </c>
      <c r="Z1407">
        <f t="shared" si="152"/>
        <v>0</v>
      </c>
      <c r="AA1407">
        <f t="shared" si="153"/>
        <v>2023</v>
      </c>
    </row>
    <row r="1408" spans="1:27" x14ac:dyDescent="0.3">
      <c r="A1408" s="2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405.57749999999999</v>
      </c>
      <c r="K1408" t="s">
        <v>65</v>
      </c>
      <c r="L1408" t="s">
        <v>35</v>
      </c>
      <c r="M1408">
        <v>0</v>
      </c>
      <c r="N1408" t="s">
        <v>2760</v>
      </c>
      <c r="O1408" t="s">
        <v>2761</v>
      </c>
      <c r="P1408">
        <v>23.61</v>
      </c>
      <c r="Q1408" s="2">
        <v>45420</v>
      </c>
      <c r="R1408" s="2">
        <v>45422</v>
      </c>
      <c r="S1408" t="s">
        <v>28</v>
      </c>
      <c r="T1408">
        <f t="shared" si="147"/>
        <v>429.1875</v>
      </c>
      <c r="U1408">
        <f t="shared" si="148"/>
        <v>15</v>
      </c>
      <c r="V1408">
        <f t="shared" si="149"/>
        <v>477.15</v>
      </c>
      <c r="W1408">
        <f t="shared" si="150"/>
        <v>71.572499999999991</v>
      </c>
      <c r="X1408">
        <f t="shared" si="151"/>
        <v>2</v>
      </c>
      <c r="Y1408" cm="1">
        <f t="array" ref="Y1408">_xlfn.IFS(H1408=0.1,1,H1408=0.15,1,H1408=0.05,1,H1408=0,0)</f>
        <v>1</v>
      </c>
      <c r="Z1408">
        <f t="shared" si="152"/>
        <v>15</v>
      </c>
      <c r="AA1408">
        <f t="shared" si="153"/>
        <v>2024</v>
      </c>
    </row>
    <row r="1409" spans="1:27" x14ac:dyDescent="0.3">
      <c r="A1409" s="2">
        <v>45187</v>
      </c>
      <c r="B1409" t="s">
        <v>29</v>
      </c>
      <c r="C1409" t="s">
        <v>132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2762</v>
      </c>
      <c r="O1409" t="s">
        <v>2763</v>
      </c>
      <c r="P1409">
        <v>43.14</v>
      </c>
      <c r="Q1409" s="2">
        <v>45187</v>
      </c>
      <c r="R1409" s="2">
        <v>45196</v>
      </c>
      <c r="S1409" t="s">
        <v>38</v>
      </c>
      <c r="T1409">
        <f t="shared" si="147"/>
        <v>3799.62</v>
      </c>
      <c r="U1409">
        <f t="shared" si="148"/>
        <v>0</v>
      </c>
      <c r="V1409">
        <f t="shared" si="149"/>
        <v>3756.48</v>
      </c>
      <c r="W1409">
        <f t="shared" si="150"/>
        <v>0</v>
      </c>
      <c r="X1409">
        <f t="shared" si="151"/>
        <v>9</v>
      </c>
      <c r="Y1409" cm="1">
        <f t="array" ref="Y1409">_xlfn.IFS(H1409=0.1,1,H1409=0.15,1,H1409=0.05,1,H1409=0,0)</f>
        <v>0</v>
      </c>
      <c r="Z1409">
        <f t="shared" si="152"/>
        <v>0</v>
      </c>
      <c r="AA1409">
        <f t="shared" si="153"/>
        <v>2023</v>
      </c>
    </row>
    <row r="1410" spans="1:27" x14ac:dyDescent="0.3">
      <c r="A1410" s="2">
        <v>45752</v>
      </c>
      <c r="B1410" t="s">
        <v>45</v>
      </c>
      <c r="C1410" t="s">
        <v>81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6319.6659999999993</v>
      </c>
      <c r="K1410" t="s">
        <v>58</v>
      </c>
      <c r="L1410" t="s">
        <v>25</v>
      </c>
      <c r="M1410">
        <v>0</v>
      </c>
      <c r="N1410" t="s">
        <v>2764</v>
      </c>
      <c r="O1410" t="s">
        <v>1787</v>
      </c>
      <c r="P1410">
        <v>48.98</v>
      </c>
      <c r="Q1410" s="2">
        <v>45752</v>
      </c>
      <c r="R1410" s="2">
        <v>45760</v>
      </c>
      <c r="S1410" t="s">
        <v>50</v>
      </c>
      <c r="T1410">
        <f t="shared" si="147"/>
        <v>6368.6459999999988</v>
      </c>
      <c r="U1410">
        <f t="shared" si="148"/>
        <v>5</v>
      </c>
      <c r="V1410">
        <f t="shared" si="149"/>
        <v>6652.28</v>
      </c>
      <c r="W1410">
        <f t="shared" si="150"/>
        <v>332.61400000000049</v>
      </c>
      <c r="X1410">
        <f t="shared" si="151"/>
        <v>8</v>
      </c>
      <c r="Y1410" cm="1">
        <f t="array" ref="Y1410">_xlfn.IFS(H1410=0.1,1,H1410=0.15,1,H1410=0.05,1,H1410=0,0)</f>
        <v>1</v>
      </c>
      <c r="Z1410">
        <f t="shared" si="152"/>
        <v>19</v>
      </c>
      <c r="AA1410">
        <f t="shared" si="153"/>
        <v>2025</v>
      </c>
    </row>
    <row r="1411" spans="1:27" x14ac:dyDescent="0.3">
      <c r="A1411" s="2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2765</v>
      </c>
      <c r="O1411" t="s">
        <v>2766</v>
      </c>
      <c r="P1411">
        <v>29.41</v>
      </c>
      <c r="Q1411" s="2">
        <v>45182</v>
      </c>
      <c r="R1411" s="2">
        <v>45184</v>
      </c>
      <c r="S1411" t="s">
        <v>50</v>
      </c>
      <c r="T1411">
        <f t="shared" ref="T1411:T1474" si="154">SUM(J1411:P1411)</f>
        <v>2843.6424999999999</v>
      </c>
      <c r="U1411">
        <f t="shared" ref="U1411:U1474" si="155">PRODUCT(100,H1411)</f>
        <v>5</v>
      </c>
      <c r="V1411">
        <f t="shared" ref="V1411:V1474" si="156">PRODUCT(D1411:E1411)</f>
        <v>2962.35</v>
      </c>
      <c r="W1411">
        <f t="shared" ref="W1411:W1474" si="157" xml:space="preserve"> V1411-J1411</f>
        <v>148.11749999999984</v>
      </c>
      <c r="X1411">
        <f t="shared" ref="X1411:X1474" si="158">R1411-Q1411</f>
        <v>2</v>
      </c>
      <c r="Y1411" cm="1">
        <f t="array" ref="Y1411">_xlfn.IFS(H1411=0.1,1,H1411=0.15,1,H1411=0.05,1,H1411=0,0)</f>
        <v>1</v>
      </c>
      <c r="Z1411">
        <f t="shared" ref="Z1411:Z1474" si="159">PRODUCT(Y1411,D1411)</f>
        <v>9</v>
      </c>
      <c r="AA1411">
        <f t="shared" ref="AA1411:AA1474" si="160">YEAR(A1411)</f>
        <v>2023</v>
      </c>
    </row>
    <row r="1412" spans="1:27" x14ac:dyDescent="0.3">
      <c r="A1412" s="2">
        <v>45471</v>
      </c>
      <c r="B1412" t="s">
        <v>19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2767</v>
      </c>
      <c r="O1412" t="s">
        <v>2768</v>
      </c>
      <c r="P1412">
        <v>22.97</v>
      </c>
      <c r="Q1412" s="2">
        <v>45471</v>
      </c>
      <c r="R1412" s="2">
        <v>45479</v>
      </c>
      <c r="S1412" t="s">
        <v>28</v>
      </c>
      <c r="T1412">
        <f t="shared" si="154"/>
        <v>571.18650000000002</v>
      </c>
      <c r="U1412">
        <f t="shared" si="155"/>
        <v>5</v>
      </c>
      <c r="V1412">
        <f t="shared" si="156"/>
        <v>577.07000000000005</v>
      </c>
      <c r="W1412">
        <f t="shared" si="157"/>
        <v>28.853500000000054</v>
      </c>
      <c r="X1412">
        <f t="shared" si="158"/>
        <v>8</v>
      </c>
      <c r="Y1412" cm="1">
        <f t="array" ref="Y1412">_xlfn.IFS(H1412=0.1,1,H1412=0.15,1,H1412=0.05,1,H1412=0,0)</f>
        <v>1</v>
      </c>
      <c r="Z1412">
        <f t="shared" si="159"/>
        <v>1</v>
      </c>
      <c r="AA1412">
        <f t="shared" si="160"/>
        <v>2024</v>
      </c>
    </row>
    <row r="1413" spans="1:27" x14ac:dyDescent="0.3">
      <c r="A1413" s="2">
        <v>45022</v>
      </c>
      <c r="B1413" t="s">
        <v>45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2939.382000000001</v>
      </c>
      <c r="K1413" t="s">
        <v>65</v>
      </c>
      <c r="L1413" t="s">
        <v>59</v>
      </c>
      <c r="M1413">
        <v>0</v>
      </c>
      <c r="N1413" t="s">
        <v>2769</v>
      </c>
      <c r="O1413" t="s">
        <v>988</v>
      </c>
      <c r="P1413">
        <v>11.52</v>
      </c>
      <c r="Q1413" s="2">
        <v>45022</v>
      </c>
      <c r="R1413" s="2">
        <v>45024</v>
      </c>
      <c r="S1413" t="s">
        <v>50</v>
      </c>
      <c r="T1413">
        <f t="shared" si="154"/>
        <v>2950.902000000001</v>
      </c>
      <c r="U1413">
        <f t="shared" si="155"/>
        <v>10</v>
      </c>
      <c r="V1413">
        <f t="shared" si="156"/>
        <v>3265.9800000000005</v>
      </c>
      <c r="W1413">
        <f t="shared" si="157"/>
        <v>326.5979999999995</v>
      </c>
      <c r="X1413">
        <f t="shared" si="158"/>
        <v>2</v>
      </c>
      <c r="Y1413" cm="1">
        <f t="array" ref="Y1413">_xlfn.IFS(H1413=0.1,1,H1413=0.15,1,H1413=0.05,1,H1413=0,0)</f>
        <v>1</v>
      </c>
      <c r="Z1413">
        <f t="shared" si="159"/>
        <v>6</v>
      </c>
      <c r="AA1413">
        <f t="shared" si="160"/>
        <v>2023</v>
      </c>
    </row>
    <row r="1414" spans="1:27" x14ac:dyDescent="0.3">
      <c r="A1414" s="2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5071.1849999999986</v>
      </c>
      <c r="K1414" t="s">
        <v>65</v>
      </c>
      <c r="L1414" t="s">
        <v>41</v>
      </c>
      <c r="M1414">
        <v>1</v>
      </c>
      <c r="N1414" t="s">
        <v>2770</v>
      </c>
      <c r="O1414" t="s">
        <v>2149</v>
      </c>
      <c r="P1414">
        <v>32.92</v>
      </c>
      <c r="Q1414" s="2">
        <v>45059</v>
      </c>
      <c r="R1414" s="2">
        <v>45064</v>
      </c>
      <c r="S1414" t="s">
        <v>38</v>
      </c>
      <c r="T1414">
        <f t="shared" si="154"/>
        <v>5105.1049999999987</v>
      </c>
      <c r="U1414">
        <f t="shared" si="155"/>
        <v>15</v>
      </c>
      <c r="V1414">
        <f t="shared" si="156"/>
        <v>5966.0999999999995</v>
      </c>
      <c r="W1414">
        <f t="shared" si="157"/>
        <v>894.91500000000087</v>
      </c>
      <c r="X1414">
        <f t="shared" si="158"/>
        <v>5</v>
      </c>
      <c r="Y1414" cm="1">
        <f t="array" ref="Y1414">_xlfn.IFS(H1414=0.1,1,H1414=0.15,1,H1414=0.05,1,H1414=0,0)</f>
        <v>1</v>
      </c>
      <c r="Z1414">
        <f t="shared" si="159"/>
        <v>18</v>
      </c>
      <c r="AA1414">
        <f t="shared" si="160"/>
        <v>2023</v>
      </c>
    </row>
    <row r="1415" spans="1:27" x14ac:dyDescent="0.3">
      <c r="A1415" s="2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62</v>
      </c>
      <c r="L1415" t="s">
        <v>25</v>
      </c>
      <c r="M1415">
        <v>0</v>
      </c>
      <c r="N1415" t="s">
        <v>2771</v>
      </c>
      <c r="O1415" t="s">
        <v>2772</v>
      </c>
      <c r="P1415">
        <v>36.340000000000003</v>
      </c>
      <c r="Q1415" s="2">
        <v>45784</v>
      </c>
      <c r="R1415" s="2">
        <v>45792</v>
      </c>
      <c r="S1415" t="s">
        <v>28</v>
      </c>
      <c r="T1415">
        <f t="shared" si="154"/>
        <v>415.47400000000005</v>
      </c>
      <c r="U1415">
        <f t="shared" si="155"/>
        <v>10</v>
      </c>
      <c r="V1415">
        <f t="shared" si="156"/>
        <v>421.26</v>
      </c>
      <c r="W1415">
        <f t="shared" si="157"/>
        <v>42.125999999999976</v>
      </c>
      <c r="X1415">
        <f t="shared" si="158"/>
        <v>8</v>
      </c>
      <c r="Y1415" cm="1">
        <f t="array" ref="Y1415">_xlfn.IFS(H1415=0.1,1,H1415=0.15,1,H1415=0.05,1,H1415=0,0)</f>
        <v>1</v>
      </c>
      <c r="Z1415">
        <f t="shared" si="159"/>
        <v>1</v>
      </c>
      <c r="AA1415">
        <f t="shared" si="160"/>
        <v>2025</v>
      </c>
    </row>
    <row r="1416" spans="1:27" x14ac:dyDescent="0.3">
      <c r="A1416" s="2">
        <v>45738</v>
      </c>
      <c r="B1416" t="s">
        <v>39</v>
      </c>
      <c r="C1416" t="s">
        <v>81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65</v>
      </c>
      <c r="L1416" t="s">
        <v>35</v>
      </c>
      <c r="M1416">
        <v>0</v>
      </c>
      <c r="N1416" t="s">
        <v>2773</v>
      </c>
      <c r="O1416" t="s">
        <v>2774</v>
      </c>
      <c r="P1416">
        <v>45.25</v>
      </c>
      <c r="Q1416" s="2">
        <v>45738</v>
      </c>
      <c r="R1416" s="2">
        <v>45743</v>
      </c>
      <c r="S1416" t="s">
        <v>44</v>
      </c>
      <c r="T1416">
        <f t="shared" si="154"/>
        <v>2043.3219999999999</v>
      </c>
      <c r="U1416">
        <f t="shared" si="155"/>
        <v>10</v>
      </c>
      <c r="V1416">
        <f t="shared" si="156"/>
        <v>2220.08</v>
      </c>
      <c r="W1416">
        <f t="shared" si="157"/>
        <v>222.00800000000004</v>
      </c>
      <c r="X1416">
        <f t="shared" si="158"/>
        <v>5</v>
      </c>
      <c r="Y1416" cm="1">
        <f t="array" ref="Y1416">_xlfn.IFS(H1416=0.1,1,H1416=0.15,1,H1416=0.05,1,H1416=0,0)</f>
        <v>1</v>
      </c>
      <c r="Z1416">
        <f t="shared" si="159"/>
        <v>4</v>
      </c>
      <c r="AA1416">
        <f t="shared" si="160"/>
        <v>2025</v>
      </c>
    </row>
    <row r="1417" spans="1:27" x14ac:dyDescent="0.3">
      <c r="A1417" s="2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2775</v>
      </c>
      <c r="O1417" t="s">
        <v>1764</v>
      </c>
      <c r="P1417">
        <v>11.21</v>
      </c>
      <c r="Q1417" s="2">
        <v>45467</v>
      </c>
      <c r="R1417" s="2">
        <v>45475</v>
      </c>
      <c r="S1417" t="s">
        <v>38</v>
      </c>
      <c r="T1417">
        <f t="shared" si="154"/>
        <v>4838.78</v>
      </c>
      <c r="U1417">
        <f t="shared" si="155"/>
        <v>0</v>
      </c>
      <c r="V1417">
        <f t="shared" si="156"/>
        <v>4826.57</v>
      </c>
      <c r="W1417">
        <f t="shared" si="157"/>
        <v>0</v>
      </c>
      <c r="X1417">
        <f t="shared" si="158"/>
        <v>8</v>
      </c>
      <c r="Y1417" cm="1">
        <f t="array" ref="Y1417">_xlfn.IFS(H1417=0.1,1,H1417=0.15,1,H1417=0.05,1,H1417=0,0)</f>
        <v>0</v>
      </c>
      <c r="Z1417">
        <f t="shared" si="159"/>
        <v>0</v>
      </c>
      <c r="AA1417">
        <f t="shared" si="160"/>
        <v>2024</v>
      </c>
    </row>
    <row r="1418" spans="1:27" x14ac:dyDescent="0.3">
      <c r="A1418" s="2">
        <v>45837</v>
      </c>
      <c r="B1418" t="s">
        <v>71</v>
      </c>
      <c r="C1418" t="s">
        <v>81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L1418" t="s">
        <v>59</v>
      </c>
      <c r="M1418">
        <v>0</v>
      </c>
      <c r="N1418" t="s">
        <v>2776</v>
      </c>
      <c r="O1418" t="s">
        <v>2777</v>
      </c>
      <c r="P1418">
        <v>34.76</v>
      </c>
      <c r="Q1418" s="2">
        <v>45837</v>
      </c>
      <c r="R1418" s="2">
        <v>45841</v>
      </c>
      <c r="S1418" t="s">
        <v>74</v>
      </c>
      <c r="T1418">
        <f t="shared" si="154"/>
        <v>4119.3244999999997</v>
      </c>
      <c r="U1418">
        <f t="shared" si="155"/>
        <v>15</v>
      </c>
      <c r="V1418">
        <f t="shared" si="156"/>
        <v>4805.37</v>
      </c>
      <c r="W1418">
        <f t="shared" si="157"/>
        <v>720.80549999999994</v>
      </c>
      <c r="X1418">
        <f t="shared" si="158"/>
        <v>4</v>
      </c>
      <c r="Y1418" cm="1">
        <f t="array" ref="Y1418">_xlfn.IFS(H1418=0.1,1,H1418=0.15,1,H1418=0.05,1,H1418=0,0)</f>
        <v>1</v>
      </c>
      <c r="Z1418">
        <f t="shared" si="159"/>
        <v>9</v>
      </c>
      <c r="AA1418">
        <f t="shared" si="160"/>
        <v>2025</v>
      </c>
    </row>
    <row r="1419" spans="1:27" x14ac:dyDescent="0.3">
      <c r="A1419" s="2">
        <v>45383</v>
      </c>
      <c r="B1419" t="s">
        <v>71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2778</v>
      </c>
      <c r="O1419" t="s">
        <v>2779</v>
      </c>
      <c r="P1419">
        <v>42.43</v>
      </c>
      <c r="Q1419" s="2">
        <v>45383</v>
      </c>
      <c r="R1419" s="2">
        <v>45392</v>
      </c>
      <c r="S1419" t="s">
        <v>74</v>
      </c>
      <c r="T1419">
        <f t="shared" si="154"/>
        <v>1562.9350000000002</v>
      </c>
      <c r="U1419">
        <f t="shared" si="155"/>
        <v>10</v>
      </c>
      <c r="V1419">
        <f t="shared" si="156"/>
        <v>1689.45</v>
      </c>
      <c r="W1419">
        <f t="shared" si="157"/>
        <v>168.94499999999994</v>
      </c>
      <c r="X1419">
        <f t="shared" si="158"/>
        <v>9</v>
      </c>
      <c r="Y1419" cm="1">
        <f t="array" ref="Y1419">_xlfn.IFS(H1419=0.1,1,H1419=0.15,1,H1419=0.05,1,H1419=0,0)</f>
        <v>1</v>
      </c>
      <c r="Z1419">
        <f t="shared" si="159"/>
        <v>7</v>
      </c>
      <c r="AA1419">
        <f t="shared" si="160"/>
        <v>2024</v>
      </c>
    </row>
    <row r="1420" spans="1:27" x14ac:dyDescent="0.3">
      <c r="A1420" s="2">
        <v>45447</v>
      </c>
      <c r="B1420" t="s">
        <v>39</v>
      </c>
      <c r="C1420" t="s">
        <v>81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65</v>
      </c>
      <c r="L1420" t="s">
        <v>59</v>
      </c>
      <c r="M1420">
        <v>0</v>
      </c>
      <c r="N1420" t="s">
        <v>2780</v>
      </c>
      <c r="O1420" t="s">
        <v>2781</v>
      </c>
      <c r="P1420">
        <v>36.049999999999997</v>
      </c>
      <c r="Q1420" s="2">
        <v>45447</v>
      </c>
      <c r="R1420" s="2">
        <v>45457</v>
      </c>
      <c r="S1420" t="s">
        <v>44</v>
      </c>
      <c r="T1420">
        <f t="shared" si="154"/>
        <v>1711.9165</v>
      </c>
      <c r="U1420">
        <f t="shared" si="155"/>
        <v>5</v>
      </c>
      <c r="V1420">
        <f t="shared" si="156"/>
        <v>1764.0700000000002</v>
      </c>
      <c r="W1420">
        <f t="shared" si="157"/>
        <v>88.203500000000076</v>
      </c>
      <c r="X1420">
        <f t="shared" si="158"/>
        <v>10</v>
      </c>
      <c r="Y1420" cm="1">
        <f t="array" ref="Y1420">_xlfn.IFS(H1420=0.1,1,H1420=0.15,1,H1420=0.05,1,H1420=0,0)</f>
        <v>1</v>
      </c>
      <c r="Z1420">
        <f t="shared" si="159"/>
        <v>11</v>
      </c>
      <c r="AA1420">
        <f t="shared" si="160"/>
        <v>2024</v>
      </c>
    </row>
    <row r="1421" spans="1:27" x14ac:dyDescent="0.3">
      <c r="A1421" s="2">
        <v>45015</v>
      </c>
      <c r="B1421" t="s">
        <v>19</v>
      </c>
      <c r="C1421" t="s">
        <v>81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377.19000000000011</v>
      </c>
      <c r="K1421" t="s">
        <v>34</v>
      </c>
      <c r="L1421" t="s">
        <v>35</v>
      </c>
      <c r="M1421">
        <v>1</v>
      </c>
      <c r="N1421" t="s">
        <v>2782</v>
      </c>
      <c r="O1421" t="s">
        <v>2783</v>
      </c>
      <c r="P1421">
        <v>38.81</v>
      </c>
      <c r="Q1421" s="2">
        <v>45015</v>
      </c>
      <c r="R1421" s="2">
        <v>45022</v>
      </c>
      <c r="S1421" t="s">
        <v>28</v>
      </c>
      <c r="T1421">
        <f t="shared" si="154"/>
        <v>417.00000000000011</v>
      </c>
      <c r="U1421">
        <f t="shared" si="155"/>
        <v>10</v>
      </c>
      <c r="V1421">
        <f t="shared" si="156"/>
        <v>419.1</v>
      </c>
      <c r="W1421">
        <f t="shared" si="157"/>
        <v>41.909999999999911</v>
      </c>
      <c r="X1421">
        <f t="shared" si="158"/>
        <v>7</v>
      </c>
      <c r="Y1421" cm="1">
        <f t="array" ref="Y1421">_xlfn.IFS(H1421=0.1,1,H1421=0.15,1,H1421=0.05,1,H1421=0,0)</f>
        <v>1</v>
      </c>
      <c r="Z1421">
        <f t="shared" si="159"/>
        <v>1</v>
      </c>
      <c r="AA1421">
        <f t="shared" si="160"/>
        <v>2023</v>
      </c>
    </row>
    <row r="1422" spans="1:27" x14ac:dyDescent="0.3">
      <c r="A1422" s="2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65</v>
      </c>
      <c r="L1422" t="s">
        <v>41</v>
      </c>
      <c r="M1422">
        <v>1</v>
      </c>
      <c r="N1422" t="s">
        <v>2784</v>
      </c>
      <c r="O1422" t="s">
        <v>2785</v>
      </c>
      <c r="P1422">
        <v>17.89</v>
      </c>
      <c r="Q1422" s="2">
        <v>45742</v>
      </c>
      <c r="R1422" s="2">
        <v>45744</v>
      </c>
      <c r="S1422" t="s">
        <v>28</v>
      </c>
      <c r="T1422">
        <f t="shared" si="154"/>
        <v>1551.7460000000001</v>
      </c>
      <c r="U1422">
        <f t="shared" si="155"/>
        <v>15</v>
      </c>
      <c r="V1422">
        <f t="shared" si="156"/>
        <v>1803.36</v>
      </c>
      <c r="W1422">
        <f t="shared" si="157"/>
        <v>270.50399999999991</v>
      </c>
      <c r="X1422">
        <f t="shared" si="158"/>
        <v>2</v>
      </c>
      <c r="Y1422" cm="1">
        <f t="array" ref="Y1422">_xlfn.IFS(H1422=0.1,1,H1422=0.15,1,H1422=0.05,1,H1422=0,0)</f>
        <v>1</v>
      </c>
      <c r="Z1422">
        <f t="shared" si="159"/>
        <v>13</v>
      </c>
      <c r="AA1422">
        <f t="shared" si="160"/>
        <v>2025</v>
      </c>
    </row>
    <row r="1423" spans="1:27" x14ac:dyDescent="0.3">
      <c r="A1423" s="2">
        <v>45160</v>
      </c>
      <c r="B1423" t="s">
        <v>71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2786</v>
      </c>
      <c r="O1423" t="s">
        <v>2787</v>
      </c>
      <c r="P1423">
        <v>13.62</v>
      </c>
      <c r="Q1423" s="2">
        <v>45160</v>
      </c>
      <c r="R1423" s="2">
        <v>45162</v>
      </c>
      <c r="S1423" t="s">
        <v>74</v>
      </c>
      <c r="T1423">
        <f t="shared" si="154"/>
        <v>3701.94</v>
      </c>
      <c r="U1423">
        <f t="shared" si="155"/>
        <v>0</v>
      </c>
      <c r="V1423">
        <f t="shared" si="156"/>
        <v>3688.32</v>
      </c>
      <c r="W1423">
        <f t="shared" si="157"/>
        <v>0</v>
      </c>
      <c r="X1423">
        <f t="shared" si="158"/>
        <v>2</v>
      </c>
      <c r="Y1423" cm="1">
        <f t="array" ref="Y1423">_xlfn.IFS(H1423=0.1,1,H1423=0.15,1,H1423=0.05,1,H1423=0,0)</f>
        <v>0</v>
      </c>
      <c r="Z1423">
        <f t="shared" si="159"/>
        <v>0</v>
      </c>
      <c r="AA1423">
        <f t="shared" si="160"/>
        <v>2023</v>
      </c>
    </row>
    <row r="1424" spans="1:27" x14ac:dyDescent="0.3">
      <c r="A1424" s="2">
        <v>45398</v>
      </c>
      <c r="B1424" t="s">
        <v>29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65</v>
      </c>
      <c r="L1424" t="s">
        <v>41</v>
      </c>
      <c r="M1424">
        <v>0</v>
      </c>
      <c r="N1424" t="s">
        <v>2788</v>
      </c>
      <c r="O1424" t="s">
        <v>1236</v>
      </c>
      <c r="P1424">
        <v>31.04</v>
      </c>
      <c r="Q1424" s="2">
        <v>45398</v>
      </c>
      <c r="R1424" s="2">
        <v>45402</v>
      </c>
      <c r="S1424" t="s">
        <v>38</v>
      </c>
      <c r="T1424">
        <f t="shared" si="154"/>
        <v>2704.4090000000001</v>
      </c>
      <c r="U1424">
        <f t="shared" si="155"/>
        <v>15</v>
      </c>
      <c r="V1424">
        <f t="shared" si="156"/>
        <v>3145.1400000000003</v>
      </c>
      <c r="W1424">
        <f t="shared" si="157"/>
        <v>471.77100000000019</v>
      </c>
      <c r="X1424">
        <f t="shared" si="158"/>
        <v>4</v>
      </c>
      <c r="Y1424" cm="1">
        <f t="array" ref="Y1424">_xlfn.IFS(H1424=0.1,1,H1424=0.15,1,H1424=0.05,1,H1424=0,0)</f>
        <v>1</v>
      </c>
      <c r="Z1424">
        <f t="shared" si="159"/>
        <v>6</v>
      </c>
      <c r="AA1424">
        <f t="shared" si="160"/>
        <v>2024</v>
      </c>
    </row>
    <row r="1425" spans="1:27" x14ac:dyDescent="0.3">
      <c r="A1425" s="2">
        <v>45788</v>
      </c>
      <c r="B1425" t="s">
        <v>45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4395.0239999999994</v>
      </c>
      <c r="K1425" t="s">
        <v>62</v>
      </c>
      <c r="L1425" t="s">
        <v>35</v>
      </c>
      <c r="M1425">
        <v>0</v>
      </c>
      <c r="N1425" t="s">
        <v>2789</v>
      </c>
      <c r="O1425" t="s">
        <v>784</v>
      </c>
      <c r="P1425">
        <v>33.369999999999997</v>
      </c>
      <c r="Q1425" s="2">
        <v>45788</v>
      </c>
      <c r="R1425" s="2">
        <v>45796</v>
      </c>
      <c r="S1425" t="s">
        <v>50</v>
      </c>
      <c r="T1425">
        <f t="shared" si="154"/>
        <v>4428.3939999999993</v>
      </c>
      <c r="U1425">
        <f t="shared" si="155"/>
        <v>10</v>
      </c>
      <c r="V1425">
        <f t="shared" si="156"/>
        <v>4883.3599999999997</v>
      </c>
      <c r="W1425">
        <f t="shared" si="157"/>
        <v>488.33600000000024</v>
      </c>
      <c r="X1425">
        <f t="shared" si="158"/>
        <v>8</v>
      </c>
      <c r="Y1425" cm="1">
        <f t="array" ref="Y1425">_xlfn.IFS(H1425=0.1,1,H1425=0.15,1,H1425=0.05,1,H1425=0,0)</f>
        <v>1</v>
      </c>
      <c r="Z1425">
        <f t="shared" si="159"/>
        <v>16</v>
      </c>
      <c r="AA1425">
        <f t="shared" si="160"/>
        <v>2025</v>
      </c>
    </row>
    <row r="1426" spans="1:27" x14ac:dyDescent="0.3">
      <c r="A1426" s="2">
        <v>45271</v>
      </c>
      <c r="B1426" t="s">
        <v>39</v>
      </c>
      <c r="C1426" t="s">
        <v>132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L1426" t="s">
        <v>59</v>
      </c>
      <c r="M1426">
        <v>0</v>
      </c>
      <c r="N1426" t="s">
        <v>2790</v>
      </c>
      <c r="O1426" t="s">
        <v>2791</v>
      </c>
      <c r="P1426">
        <v>6.53</v>
      </c>
      <c r="Q1426" s="2">
        <v>45271</v>
      </c>
      <c r="R1426" s="2">
        <v>45281</v>
      </c>
      <c r="S1426" t="s">
        <v>44</v>
      </c>
      <c r="T1426">
        <f t="shared" si="154"/>
        <v>7025.8899999999994</v>
      </c>
      <c r="U1426">
        <f t="shared" si="155"/>
        <v>0</v>
      </c>
      <c r="V1426">
        <f t="shared" si="156"/>
        <v>7019.36</v>
      </c>
      <c r="W1426">
        <f t="shared" si="157"/>
        <v>0</v>
      </c>
      <c r="X1426">
        <f t="shared" si="158"/>
        <v>10</v>
      </c>
      <c r="Y1426" cm="1">
        <f t="array" ref="Y1426">_xlfn.IFS(H1426=0.1,1,H1426=0.15,1,H1426=0.05,1,H1426=0,0)</f>
        <v>0</v>
      </c>
      <c r="Z1426">
        <f t="shared" si="159"/>
        <v>0</v>
      </c>
      <c r="AA1426">
        <f t="shared" si="160"/>
        <v>2023</v>
      </c>
    </row>
    <row r="1427" spans="1:27" x14ac:dyDescent="0.3">
      <c r="A1427" s="2">
        <v>44942</v>
      </c>
      <c r="B1427" t="s">
        <v>39</v>
      </c>
      <c r="C1427" t="s">
        <v>132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L1427" t="s">
        <v>59</v>
      </c>
      <c r="M1427">
        <v>0</v>
      </c>
      <c r="N1427" t="s">
        <v>2792</v>
      </c>
      <c r="O1427" t="s">
        <v>2793</v>
      </c>
      <c r="P1427">
        <v>41.3</v>
      </c>
      <c r="Q1427" s="2">
        <v>44942</v>
      </c>
      <c r="R1427" s="2">
        <v>44947</v>
      </c>
      <c r="S1427" t="s">
        <v>44</v>
      </c>
      <c r="T1427">
        <f t="shared" si="154"/>
        <v>1786.94</v>
      </c>
      <c r="U1427">
        <f t="shared" si="155"/>
        <v>10</v>
      </c>
      <c r="V1427">
        <f t="shared" si="156"/>
        <v>1939.6000000000001</v>
      </c>
      <c r="W1427">
        <f t="shared" si="157"/>
        <v>193.96000000000004</v>
      </c>
      <c r="X1427">
        <f t="shared" si="158"/>
        <v>5</v>
      </c>
      <c r="Y1427" cm="1">
        <f t="array" ref="Y1427">_xlfn.IFS(H1427=0.1,1,H1427=0.15,1,H1427=0.05,1,H1427=0,0)</f>
        <v>1</v>
      </c>
      <c r="Z1427">
        <f t="shared" si="159"/>
        <v>10</v>
      </c>
      <c r="AA1427">
        <f t="shared" si="160"/>
        <v>2023</v>
      </c>
    </row>
    <row r="1428" spans="1:27" x14ac:dyDescent="0.3">
      <c r="A1428" s="2">
        <v>45056</v>
      </c>
      <c r="B1428" t="s">
        <v>19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68</v>
      </c>
      <c r="J1428">
        <v>9925.1819999999989</v>
      </c>
      <c r="K1428" t="s">
        <v>24</v>
      </c>
      <c r="L1428" t="s">
        <v>35</v>
      </c>
      <c r="M1428">
        <v>0</v>
      </c>
      <c r="N1428" t="s">
        <v>2794</v>
      </c>
      <c r="O1428" t="s">
        <v>2795</v>
      </c>
      <c r="P1428">
        <v>37.81</v>
      </c>
      <c r="Q1428" s="2">
        <v>45056</v>
      </c>
      <c r="R1428" s="2">
        <v>45063</v>
      </c>
      <c r="S1428" t="s">
        <v>28</v>
      </c>
      <c r="T1428">
        <f t="shared" si="154"/>
        <v>9962.9919999999984</v>
      </c>
      <c r="U1428">
        <f t="shared" si="155"/>
        <v>5</v>
      </c>
      <c r="V1428">
        <f t="shared" si="156"/>
        <v>10447.56</v>
      </c>
      <c r="W1428">
        <f t="shared" si="157"/>
        <v>522.37800000000061</v>
      </c>
      <c r="X1428">
        <f t="shared" si="158"/>
        <v>7</v>
      </c>
      <c r="Y1428" cm="1">
        <f t="array" ref="Y1428">_xlfn.IFS(H1428=0.1,1,H1428=0.15,1,H1428=0.05,1,H1428=0,0)</f>
        <v>1</v>
      </c>
      <c r="Z1428">
        <f t="shared" si="159"/>
        <v>18</v>
      </c>
      <c r="AA1428">
        <f t="shared" si="160"/>
        <v>2023</v>
      </c>
    </row>
    <row r="1429" spans="1:27" x14ac:dyDescent="0.3">
      <c r="A1429" s="2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62</v>
      </c>
      <c r="L1429" t="s">
        <v>25</v>
      </c>
      <c r="M1429">
        <v>0</v>
      </c>
      <c r="N1429" t="s">
        <v>2796</v>
      </c>
      <c r="O1429" t="s">
        <v>2797</v>
      </c>
      <c r="P1429">
        <v>32.54</v>
      </c>
      <c r="Q1429" s="2">
        <v>45465</v>
      </c>
      <c r="R1429" s="2">
        <v>45472</v>
      </c>
      <c r="S1429" t="s">
        <v>50</v>
      </c>
      <c r="T1429">
        <f t="shared" si="154"/>
        <v>1515.6499999999999</v>
      </c>
      <c r="U1429">
        <f t="shared" si="155"/>
        <v>10</v>
      </c>
      <c r="V1429">
        <f t="shared" si="156"/>
        <v>1647.8999999999999</v>
      </c>
      <c r="W1429">
        <f t="shared" si="157"/>
        <v>164.78999999999996</v>
      </c>
      <c r="X1429">
        <f t="shared" si="158"/>
        <v>7</v>
      </c>
      <c r="Y1429" cm="1">
        <f t="array" ref="Y1429">_xlfn.IFS(H1429=0.1,1,H1429=0.15,1,H1429=0.05,1,H1429=0,0)</f>
        <v>1</v>
      </c>
      <c r="Z1429">
        <f t="shared" si="159"/>
        <v>18</v>
      </c>
      <c r="AA1429">
        <f t="shared" si="160"/>
        <v>2024</v>
      </c>
    </row>
    <row r="1430" spans="1:27" x14ac:dyDescent="0.3">
      <c r="A1430" s="2">
        <v>45745</v>
      </c>
      <c r="B1430" t="s">
        <v>71</v>
      </c>
      <c r="C1430" t="s">
        <v>81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2798</v>
      </c>
      <c r="O1430" t="s">
        <v>2799</v>
      </c>
      <c r="P1430">
        <v>28.07</v>
      </c>
      <c r="Q1430" s="2">
        <v>45745</v>
      </c>
      <c r="R1430" s="2">
        <v>45754</v>
      </c>
      <c r="S1430" t="s">
        <v>74</v>
      </c>
      <c r="T1430">
        <f t="shared" si="154"/>
        <v>1359.296</v>
      </c>
      <c r="U1430">
        <f t="shared" si="155"/>
        <v>10</v>
      </c>
      <c r="V1430">
        <f t="shared" si="156"/>
        <v>1479.14</v>
      </c>
      <c r="W1430">
        <f t="shared" si="157"/>
        <v>147.91399999999999</v>
      </c>
      <c r="X1430">
        <f t="shared" si="158"/>
        <v>9</v>
      </c>
      <c r="Y1430" cm="1">
        <f t="array" ref="Y1430">_xlfn.IFS(H1430=0.1,1,H1430=0.15,1,H1430=0.05,1,H1430=0,0)</f>
        <v>1</v>
      </c>
      <c r="Z1430">
        <f t="shared" si="159"/>
        <v>13</v>
      </c>
      <c r="AA1430">
        <f t="shared" si="160"/>
        <v>2025</v>
      </c>
    </row>
    <row r="1431" spans="1:27" x14ac:dyDescent="0.3">
      <c r="A1431" s="2">
        <v>45034</v>
      </c>
      <c r="B1431" t="s">
        <v>39</v>
      </c>
      <c r="C1431" t="s">
        <v>81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2800</v>
      </c>
      <c r="O1431" t="s">
        <v>2801</v>
      </c>
      <c r="P1431">
        <v>21.89</v>
      </c>
      <c r="Q1431" s="2">
        <v>45034</v>
      </c>
      <c r="R1431" s="2">
        <v>45039</v>
      </c>
      <c r="S1431" t="s">
        <v>44</v>
      </c>
      <c r="T1431">
        <f t="shared" si="154"/>
        <v>7668.4500000000007</v>
      </c>
      <c r="U1431">
        <f t="shared" si="155"/>
        <v>0</v>
      </c>
      <c r="V1431">
        <f t="shared" si="156"/>
        <v>7646.56</v>
      </c>
      <c r="W1431">
        <f t="shared" si="157"/>
        <v>0</v>
      </c>
      <c r="X1431">
        <f t="shared" si="158"/>
        <v>5</v>
      </c>
      <c r="Y1431" cm="1">
        <f t="array" ref="Y1431">_xlfn.IFS(H1431=0.1,1,H1431=0.15,1,H1431=0.05,1,H1431=0,0)</f>
        <v>0</v>
      </c>
      <c r="Z1431">
        <f t="shared" si="159"/>
        <v>0</v>
      </c>
      <c r="AA1431">
        <f t="shared" si="160"/>
        <v>2023</v>
      </c>
    </row>
    <row r="1432" spans="1:27" x14ac:dyDescent="0.3">
      <c r="A1432" s="2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65</v>
      </c>
      <c r="L1432" t="s">
        <v>41</v>
      </c>
      <c r="M1432">
        <v>0</v>
      </c>
      <c r="N1432" t="s">
        <v>2802</v>
      </c>
      <c r="O1432" t="s">
        <v>2803</v>
      </c>
      <c r="P1432">
        <v>38.729999999999997</v>
      </c>
      <c r="Q1432" s="2">
        <v>44964</v>
      </c>
      <c r="R1432" s="2">
        <v>44966</v>
      </c>
      <c r="S1432" t="s">
        <v>50</v>
      </c>
      <c r="T1432">
        <f t="shared" si="154"/>
        <v>3899.2440000000001</v>
      </c>
      <c r="U1432">
        <f t="shared" si="155"/>
        <v>10</v>
      </c>
      <c r="V1432">
        <f t="shared" si="156"/>
        <v>4289.46</v>
      </c>
      <c r="W1432">
        <f t="shared" si="157"/>
        <v>428.94599999999991</v>
      </c>
      <c r="X1432">
        <f t="shared" si="158"/>
        <v>2</v>
      </c>
      <c r="Y1432" cm="1">
        <f t="array" ref="Y1432">_xlfn.IFS(H1432=0.1,1,H1432=0.15,1,H1432=0.05,1,H1432=0,0)</f>
        <v>1</v>
      </c>
      <c r="Z1432">
        <f t="shared" si="159"/>
        <v>14</v>
      </c>
      <c r="AA1432">
        <f t="shared" si="160"/>
        <v>2023</v>
      </c>
    </row>
    <row r="1433" spans="1:27" x14ac:dyDescent="0.3">
      <c r="A1433" s="2">
        <v>45679</v>
      </c>
      <c r="B1433" t="s">
        <v>19</v>
      </c>
      <c r="C1433" t="s">
        <v>81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65</v>
      </c>
      <c r="L1433" t="s">
        <v>59</v>
      </c>
      <c r="M1433">
        <v>0</v>
      </c>
      <c r="N1433" t="s">
        <v>2804</v>
      </c>
      <c r="O1433" t="s">
        <v>2805</v>
      </c>
      <c r="P1433">
        <v>43.29</v>
      </c>
      <c r="Q1433" s="2">
        <v>45679</v>
      </c>
      <c r="R1433" s="2">
        <v>45682</v>
      </c>
      <c r="S1433" t="s">
        <v>28</v>
      </c>
      <c r="T1433">
        <f t="shared" si="154"/>
        <v>177.81950000000001</v>
      </c>
      <c r="U1433">
        <f t="shared" si="155"/>
        <v>5</v>
      </c>
      <c r="V1433">
        <f t="shared" si="156"/>
        <v>141.61000000000001</v>
      </c>
      <c r="W1433">
        <f t="shared" si="157"/>
        <v>7.0805000000000007</v>
      </c>
      <c r="X1433">
        <f t="shared" si="158"/>
        <v>3</v>
      </c>
      <c r="Y1433" cm="1">
        <f t="array" ref="Y1433">_xlfn.IFS(H1433=0.1,1,H1433=0.15,1,H1433=0.05,1,H1433=0,0)</f>
        <v>1</v>
      </c>
      <c r="Z1433">
        <f t="shared" si="159"/>
        <v>17</v>
      </c>
      <c r="AA1433">
        <f t="shared" si="160"/>
        <v>2025</v>
      </c>
    </row>
    <row r="1434" spans="1:27" x14ac:dyDescent="0.3">
      <c r="A1434" s="2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2806</v>
      </c>
      <c r="O1434" t="s">
        <v>2807</v>
      </c>
      <c r="P1434">
        <v>29.18</v>
      </c>
      <c r="Q1434" s="2">
        <v>45111</v>
      </c>
      <c r="R1434" s="2">
        <v>45119</v>
      </c>
      <c r="S1434" t="s">
        <v>28</v>
      </c>
      <c r="T1434">
        <f t="shared" si="154"/>
        <v>2006.2820000000002</v>
      </c>
      <c r="U1434">
        <f t="shared" si="155"/>
        <v>5</v>
      </c>
      <c r="V1434">
        <f t="shared" si="156"/>
        <v>2081.16</v>
      </c>
      <c r="W1434">
        <f t="shared" si="157"/>
        <v>104.05799999999977</v>
      </c>
      <c r="X1434">
        <f t="shared" si="158"/>
        <v>8</v>
      </c>
      <c r="Y1434" cm="1">
        <f t="array" ref="Y1434">_xlfn.IFS(H1434=0.1,1,H1434=0.15,1,H1434=0.05,1,H1434=0,0)</f>
        <v>1</v>
      </c>
      <c r="Z1434">
        <f t="shared" si="159"/>
        <v>6</v>
      </c>
      <c r="AA1434">
        <f t="shared" si="160"/>
        <v>2023</v>
      </c>
    </row>
    <row r="1435" spans="1:27" x14ac:dyDescent="0.3">
      <c r="A1435" s="2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2808</v>
      </c>
      <c r="O1435" t="s">
        <v>2809</v>
      </c>
      <c r="P1435">
        <v>12.88</v>
      </c>
      <c r="Q1435" s="2">
        <v>45138</v>
      </c>
      <c r="R1435" s="2">
        <v>45141</v>
      </c>
      <c r="S1435" t="s">
        <v>50</v>
      </c>
      <c r="T1435">
        <f t="shared" si="154"/>
        <v>2825.9560000000001</v>
      </c>
      <c r="U1435">
        <f t="shared" si="155"/>
        <v>10</v>
      </c>
      <c r="V1435">
        <f t="shared" si="156"/>
        <v>3125.64</v>
      </c>
      <c r="W1435">
        <f t="shared" si="157"/>
        <v>312.56399999999985</v>
      </c>
      <c r="X1435">
        <f t="shared" si="158"/>
        <v>3</v>
      </c>
      <c r="Y1435" cm="1">
        <f t="array" ref="Y1435">_xlfn.IFS(H1435=0.1,1,H1435=0.15,1,H1435=0.05,1,H1435=0,0)</f>
        <v>1</v>
      </c>
      <c r="Z1435">
        <f t="shared" si="159"/>
        <v>14</v>
      </c>
      <c r="AA1435">
        <f t="shared" si="160"/>
        <v>2023</v>
      </c>
    </row>
    <row r="1436" spans="1:27" x14ac:dyDescent="0.3">
      <c r="A1436" s="2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62</v>
      </c>
      <c r="L1436" t="s">
        <v>41</v>
      </c>
      <c r="M1436">
        <v>0</v>
      </c>
      <c r="N1436" t="s">
        <v>2810</v>
      </c>
      <c r="O1436" t="s">
        <v>2811</v>
      </c>
      <c r="P1436">
        <v>5.13</v>
      </c>
      <c r="Q1436" s="2">
        <v>45036</v>
      </c>
      <c r="R1436" s="2">
        <v>45043</v>
      </c>
      <c r="S1436" t="s">
        <v>44</v>
      </c>
      <c r="T1436">
        <f t="shared" si="154"/>
        <v>3179.73</v>
      </c>
      <c r="U1436">
        <f t="shared" si="155"/>
        <v>0</v>
      </c>
      <c r="V1436">
        <f t="shared" si="156"/>
        <v>3174.6000000000004</v>
      </c>
      <c r="W1436">
        <f t="shared" si="157"/>
        <v>0</v>
      </c>
      <c r="X1436">
        <f t="shared" si="158"/>
        <v>7</v>
      </c>
      <c r="Y1436" cm="1">
        <f t="array" ref="Y1436">_xlfn.IFS(H1436=0.1,1,H1436=0.15,1,H1436=0.05,1,H1436=0,0)</f>
        <v>0</v>
      </c>
      <c r="Z1436">
        <f t="shared" si="159"/>
        <v>0</v>
      </c>
      <c r="AA1436">
        <f t="shared" si="160"/>
        <v>2023</v>
      </c>
    </row>
    <row r="1437" spans="1:27" x14ac:dyDescent="0.3">
      <c r="A1437" s="2">
        <v>45573</v>
      </c>
      <c r="B1437" t="s">
        <v>45</v>
      </c>
      <c r="C1437" t="s">
        <v>81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62</v>
      </c>
      <c r="L1437" t="s">
        <v>35</v>
      </c>
      <c r="M1437">
        <v>0</v>
      </c>
      <c r="N1437" t="s">
        <v>2812</v>
      </c>
      <c r="O1437" t="s">
        <v>2813</v>
      </c>
      <c r="P1437">
        <v>10.61</v>
      </c>
      <c r="Q1437" s="2">
        <v>45573</v>
      </c>
      <c r="R1437" s="2">
        <v>45576</v>
      </c>
      <c r="S1437" t="s">
        <v>50</v>
      </c>
      <c r="T1437">
        <f t="shared" si="154"/>
        <v>974.27600000000007</v>
      </c>
      <c r="U1437">
        <f t="shared" si="155"/>
        <v>10</v>
      </c>
      <c r="V1437">
        <f t="shared" si="156"/>
        <v>1070.74</v>
      </c>
      <c r="W1437">
        <f t="shared" si="157"/>
        <v>107.07399999999996</v>
      </c>
      <c r="X1437">
        <f t="shared" si="158"/>
        <v>3</v>
      </c>
      <c r="Y1437" cm="1">
        <f t="array" ref="Y1437">_xlfn.IFS(H1437=0.1,1,H1437=0.15,1,H1437=0.05,1,H1437=0,0)</f>
        <v>1</v>
      </c>
      <c r="Z1437">
        <f t="shared" si="159"/>
        <v>11</v>
      </c>
      <c r="AA1437">
        <f t="shared" si="160"/>
        <v>2024</v>
      </c>
    </row>
    <row r="1438" spans="1:27" x14ac:dyDescent="0.3">
      <c r="A1438" s="2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2814</v>
      </c>
      <c r="O1438" t="s">
        <v>2815</v>
      </c>
      <c r="P1438">
        <v>45.89</v>
      </c>
      <c r="Q1438" s="2">
        <v>45316</v>
      </c>
      <c r="R1438" s="2">
        <v>45318</v>
      </c>
      <c r="S1438" t="s">
        <v>28</v>
      </c>
      <c r="T1438">
        <f t="shared" si="154"/>
        <v>4232.5010000000002</v>
      </c>
      <c r="U1438">
        <f t="shared" si="155"/>
        <v>10</v>
      </c>
      <c r="V1438">
        <f t="shared" si="156"/>
        <v>4651.79</v>
      </c>
      <c r="W1438">
        <f t="shared" si="157"/>
        <v>465.17900000000009</v>
      </c>
      <c r="X1438">
        <f t="shared" si="158"/>
        <v>2</v>
      </c>
      <c r="Y1438" cm="1">
        <f t="array" ref="Y1438">_xlfn.IFS(H1438=0.1,1,H1438=0.15,1,H1438=0.05,1,H1438=0,0)</f>
        <v>1</v>
      </c>
      <c r="Z1438">
        <f t="shared" si="159"/>
        <v>11</v>
      </c>
      <c r="AA1438">
        <f t="shared" si="160"/>
        <v>2024</v>
      </c>
    </row>
    <row r="1439" spans="1:27" x14ac:dyDescent="0.3">
      <c r="A1439" s="2">
        <v>45642</v>
      </c>
      <c r="B1439" t="s">
        <v>29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L1439" t="s">
        <v>59</v>
      </c>
      <c r="M1439">
        <v>0</v>
      </c>
      <c r="N1439" t="s">
        <v>2816</v>
      </c>
      <c r="O1439" t="s">
        <v>2817</v>
      </c>
      <c r="P1439">
        <v>32.159999999999997</v>
      </c>
      <c r="Q1439" s="2">
        <v>45642</v>
      </c>
      <c r="R1439" s="2">
        <v>45651</v>
      </c>
      <c r="S1439" t="s">
        <v>38</v>
      </c>
      <c r="T1439">
        <f t="shared" si="154"/>
        <v>2149.4059999999999</v>
      </c>
      <c r="U1439">
        <f t="shared" si="155"/>
        <v>5</v>
      </c>
      <c r="V1439">
        <f t="shared" si="156"/>
        <v>2228.6799999999998</v>
      </c>
      <c r="W1439">
        <f t="shared" si="157"/>
        <v>111.43399999999974</v>
      </c>
      <c r="X1439">
        <f t="shared" si="158"/>
        <v>9</v>
      </c>
      <c r="Y1439" cm="1">
        <f t="array" ref="Y1439">_xlfn.IFS(H1439=0.1,1,H1439=0.15,1,H1439=0.05,1,H1439=0,0)</f>
        <v>1</v>
      </c>
      <c r="Z1439">
        <f t="shared" si="159"/>
        <v>4</v>
      </c>
      <c r="AA1439">
        <f t="shared" si="160"/>
        <v>2024</v>
      </c>
    </row>
    <row r="1440" spans="1:27" x14ac:dyDescent="0.3">
      <c r="A1440" s="2">
        <v>45589</v>
      </c>
      <c r="B1440" t="s">
        <v>45</v>
      </c>
      <c r="C1440" t="s">
        <v>132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68</v>
      </c>
      <c r="J1440">
        <v>3723.165</v>
      </c>
      <c r="K1440" t="s">
        <v>34</v>
      </c>
      <c r="L1440" t="s">
        <v>41</v>
      </c>
      <c r="M1440">
        <v>1</v>
      </c>
      <c r="N1440" t="s">
        <v>2818</v>
      </c>
      <c r="O1440" t="s">
        <v>76</v>
      </c>
      <c r="P1440">
        <v>22.24</v>
      </c>
      <c r="Q1440" s="2">
        <v>45589</v>
      </c>
      <c r="R1440" s="2">
        <v>45597</v>
      </c>
      <c r="S1440" t="s">
        <v>50</v>
      </c>
      <c r="T1440">
        <f t="shared" si="154"/>
        <v>3746.4049999999997</v>
      </c>
      <c r="U1440">
        <f t="shared" si="155"/>
        <v>10</v>
      </c>
      <c r="V1440">
        <f t="shared" si="156"/>
        <v>4136.8499999999995</v>
      </c>
      <c r="W1440">
        <f t="shared" si="157"/>
        <v>413.68499999999949</v>
      </c>
      <c r="X1440">
        <f t="shared" si="158"/>
        <v>8</v>
      </c>
      <c r="Y1440" cm="1">
        <f t="array" ref="Y1440">_xlfn.IFS(H1440=0.1,1,H1440=0.15,1,H1440=0.05,1,H1440=0,0)</f>
        <v>1</v>
      </c>
      <c r="Z1440">
        <f t="shared" si="159"/>
        <v>9</v>
      </c>
      <c r="AA1440">
        <f t="shared" si="160"/>
        <v>2024</v>
      </c>
    </row>
    <row r="1441" spans="1:27" x14ac:dyDescent="0.3">
      <c r="A1441" s="2">
        <v>45246</v>
      </c>
      <c r="B1441" t="s">
        <v>71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65</v>
      </c>
      <c r="L1441" t="s">
        <v>25</v>
      </c>
      <c r="M1441">
        <v>1</v>
      </c>
      <c r="N1441" t="s">
        <v>2819</v>
      </c>
      <c r="O1441" t="s">
        <v>2820</v>
      </c>
      <c r="P1441">
        <v>12.86</v>
      </c>
      <c r="Q1441" s="2">
        <v>45246</v>
      </c>
      <c r="R1441" s="2">
        <v>45250</v>
      </c>
      <c r="S1441" t="s">
        <v>74</v>
      </c>
      <c r="T1441">
        <f t="shared" si="154"/>
        <v>3565.98</v>
      </c>
      <c r="U1441">
        <f t="shared" si="155"/>
        <v>10</v>
      </c>
      <c r="V1441">
        <f t="shared" si="156"/>
        <v>3946.8</v>
      </c>
      <c r="W1441">
        <f t="shared" si="157"/>
        <v>394.68000000000029</v>
      </c>
      <c r="X1441">
        <f t="shared" si="158"/>
        <v>4</v>
      </c>
      <c r="Y1441" cm="1">
        <f t="array" ref="Y1441">_xlfn.IFS(H1441=0.1,1,H1441=0.15,1,H1441=0.05,1,H1441=0,0)</f>
        <v>1</v>
      </c>
      <c r="Z1441">
        <f t="shared" si="159"/>
        <v>8</v>
      </c>
      <c r="AA1441">
        <f t="shared" si="160"/>
        <v>2023</v>
      </c>
    </row>
    <row r="1442" spans="1:27" x14ac:dyDescent="0.3">
      <c r="A1442" s="2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68</v>
      </c>
      <c r="J1442">
        <v>5571.67</v>
      </c>
      <c r="K1442" t="s">
        <v>65</v>
      </c>
      <c r="L1442" t="s">
        <v>25</v>
      </c>
      <c r="M1442">
        <v>0</v>
      </c>
      <c r="N1442" t="s">
        <v>2821</v>
      </c>
      <c r="O1442" t="s">
        <v>2822</v>
      </c>
      <c r="P1442">
        <v>23.89</v>
      </c>
      <c r="Q1442" s="2">
        <v>45382</v>
      </c>
      <c r="R1442" s="2">
        <v>45390</v>
      </c>
      <c r="S1442" t="s">
        <v>38</v>
      </c>
      <c r="T1442">
        <f t="shared" si="154"/>
        <v>5595.56</v>
      </c>
      <c r="U1442">
        <f t="shared" si="155"/>
        <v>0</v>
      </c>
      <c r="V1442">
        <f t="shared" si="156"/>
        <v>5571.67</v>
      </c>
      <c r="W1442">
        <f t="shared" si="157"/>
        <v>0</v>
      </c>
      <c r="X1442">
        <f t="shared" si="158"/>
        <v>8</v>
      </c>
      <c r="Y1442" cm="1">
        <f t="array" ref="Y1442">_xlfn.IFS(H1442=0.1,1,H1442=0.15,1,H1442=0.05,1,H1442=0,0)</f>
        <v>0</v>
      </c>
      <c r="Z1442">
        <f t="shared" si="159"/>
        <v>0</v>
      </c>
      <c r="AA1442">
        <f t="shared" si="160"/>
        <v>2024</v>
      </c>
    </row>
    <row r="1443" spans="1:27" x14ac:dyDescent="0.3">
      <c r="A1443" s="2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62</v>
      </c>
      <c r="L1443" t="s">
        <v>41</v>
      </c>
      <c r="M1443">
        <v>0</v>
      </c>
      <c r="N1443" t="s">
        <v>2823</v>
      </c>
      <c r="O1443" t="s">
        <v>1749</v>
      </c>
      <c r="P1443">
        <v>47.19</v>
      </c>
      <c r="Q1443" s="2">
        <v>44970</v>
      </c>
      <c r="R1443" s="2">
        <v>44975</v>
      </c>
      <c r="S1443" t="s">
        <v>28</v>
      </c>
      <c r="T1443">
        <f t="shared" si="154"/>
        <v>1657.2215000000001</v>
      </c>
      <c r="U1443">
        <f t="shared" si="155"/>
        <v>5</v>
      </c>
      <c r="V1443">
        <f t="shared" si="156"/>
        <v>1694.77</v>
      </c>
      <c r="W1443">
        <f t="shared" si="157"/>
        <v>84.738499999999931</v>
      </c>
      <c r="X1443">
        <f t="shared" si="158"/>
        <v>5</v>
      </c>
      <c r="Y1443" cm="1">
        <f t="array" ref="Y1443">_xlfn.IFS(H1443=0.1,1,H1443=0.15,1,H1443=0.05,1,H1443=0,0)</f>
        <v>1</v>
      </c>
      <c r="Z1443">
        <f t="shared" si="159"/>
        <v>7</v>
      </c>
      <c r="AA1443">
        <f t="shared" si="160"/>
        <v>2023</v>
      </c>
    </row>
    <row r="1444" spans="1:27" x14ac:dyDescent="0.3">
      <c r="A1444" s="2">
        <v>45189</v>
      </c>
      <c r="B1444" t="s">
        <v>29</v>
      </c>
      <c r="C1444" t="s">
        <v>81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2824</v>
      </c>
      <c r="O1444" t="s">
        <v>2825</v>
      </c>
      <c r="P1444">
        <v>35.28</v>
      </c>
      <c r="Q1444" s="2">
        <v>45189</v>
      </c>
      <c r="R1444" s="2">
        <v>45196</v>
      </c>
      <c r="S1444" t="s">
        <v>38</v>
      </c>
      <c r="T1444">
        <f t="shared" si="154"/>
        <v>7744.9669999999996</v>
      </c>
      <c r="U1444">
        <f t="shared" si="155"/>
        <v>5</v>
      </c>
      <c r="V1444">
        <f t="shared" si="156"/>
        <v>8115.46</v>
      </c>
      <c r="W1444">
        <f t="shared" si="157"/>
        <v>405.77300000000014</v>
      </c>
      <c r="X1444">
        <f t="shared" si="158"/>
        <v>7</v>
      </c>
      <c r="Y1444" cm="1">
        <f t="array" ref="Y1444">_xlfn.IFS(H1444=0.1,1,H1444=0.15,1,H1444=0.05,1,H1444=0,0)</f>
        <v>1</v>
      </c>
      <c r="Z1444">
        <f t="shared" si="159"/>
        <v>17</v>
      </c>
      <c r="AA1444">
        <f t="shared" si="160"/>
        <v>2023</v>
      </c>
    </row>
    <row r="1445" spans="1:27" x14ac:dyDescent="0.3">
      <c r="A1445" s="2">
        <v>45104</v>
      </c>
      <c r="B1445" t="s">
        <v>29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745.56000000000006</v>
      </c>
      <c r="K1445" t="s">
        <v>65</v>
      </c>
      <c r="L1445" t="s">
        <v>41</v>
      </c>
      <c r="M1445">
        <v>0</v>
      </c>
      <c r="N1445" t="s">
        <v>2826</v>
      </c>
      <c r="O1445" t="s">
        <v>2827</v>
      </c>
      <c r="P1445">
        <v>42.11</v>
      </c>
      <c r="Q1445" s="2">
        <v>45104</v>
      </c>
      <c r="R1445" s="2">
        <v>45114</v>
      </c>
      <c r="S1445" t="s">
        <v>38</v>
      </c>
      <c r="T1445">
        <f t="shared" si="154"/>
        <v>787.67000000000007</v>
      </c>
      <c r="U1445">
        <f t="shared" si="155"/>
        <v>5</v>
      </c>
      <c r="V1445">
        <f t="shared" si="156"/>
        <v>784.80000000000007</v>
      </c>
      <c r="W1445">
        <f t="shared" si="157"/>
        <v>39.240000000000009</v>
      </c>
      <c r="X1445">
        <f t="shared" si="158"/>
        <v>10</v>
      </c>
      <c r="Y1445" cm="1">
        <f t="array" ref="Y1445">_xlfn.IFS(H1445=0.1,1,H1445=0.15,1,H1445=0.05,1,H1445=0,0)</f>
        <v>1</v>
      </c>
      <c r="Z1445">
        <f t="shared" si="159"/>
        <v>3</v>
      </c>
      <c r="AA1445">
        <f t="shared" si="160"/>
        <v>2023</v>
      </c>
    </row>
    <row r="1446" spans="1:27" x14ac:dyDescent="0.3">
      <c r="A1446" s="2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65</v>
      </c>
      <c r="L1446" t="s">
        <v>41</v>
      </c>
      <c r="M1446">
        <v>1</v>
      </c>
      <c r="N1446" t="s">
        <v>2828</v>
      </c>
      <c r="O1446" t="s">
        <v>2829</v>
      </c>
      <c r="P1446">
        <v>44.14</v>
      </c>
      <c r="Q1446" s="2">
        <v>45749</v>
      </c>
      <c r="R1446" s="2">
        <v>45753</v>
      </c>
      <c r="S1446" t="s">
        <v>50</v>
      </c>
      <c r="T1446">
        <f t="shared" si="154"/>
        <v>2417.48</v>
      </c>
      <c r="U1446">
        <f t="shared" si="155"/>
        <v>5</v>
      </c>
      <c r="V1446">
        <f t="shared" si="156"/>
        <v>2497.1999999999998</v>
      </c>
      <c r="W1446">
        <f t="shared" si="157"/>
        <v>124.85999999999967</v>
      </c>
      <c r="X1446">
        <f t="shared" si="158"/>
        <v>4</v>
      </c>
      <c r="Y1446" cm="1">
        <f t="array" ref="Y1446">_xlfn.IFS(H1446=0.1,1,H1446=0.15,1,H1446=0.05,1,H1446=0,0)</f>
        <v>1</v>
      </c>
      <c r="Z1446">
        <f t="shared" si="159"/>
        <v>6</v>
      </c>
      <c r="AA1446">
        <f t="shared" si="160"/>
        <v>2025</v>
      </c>
    </row>
    <row r="1447" spans="1:27" x14ac:dyDescent="0.3">
      <c r="A1447" s="2">
        <v>45763</v>
      </c>
      <c r="B1447" t="s">
        <v>39</v>
      </c>
      <c r="C1447" t="s">
        <v>132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65</v>
      </c>
      <c r="L1447" t="s">
        <v>25</v>
      </c>
      <c r="M1447">
        <v>0</v>
      </c>
      <c r="N1447" t="s">
        <v>2830</v>
      </c>
      <c r="O1447" t="s">
        <v>2831</v>
      </c>
      <c r="P1447">
        <v>27.55</v>
      </c>
      <c r="Q1447" s="2">
        <v>45763</v>
      </c>
      <c r="R1447" s="2">
        <v>45773</v>
      </c>
      <c r="S1447" t="s">
        <v>44</v>
      </c>
      <c r="T1447">
        <f t="shared" si="154"/>
        <v>1522.45</v>
      </c>
      <c r="U1447">
        <f t="shared" si="155"/>
        <v>0</v>
      </c>
      <c r="V1447">
        <f t="shared" si="156"/>
        <v>1494.8999999999999</v>
      </c>
      <c r="W1447">
        <f t="shared" si="157"/>
        <v>0</v>
      </c>
      <c r="X1447">
        <f t="shared" si="158"/>
        <v>10</v>
      </c>
      <c r="Y1447" cm="1">
        <f t="array" ref="Y1447">_xlfn.IFS(H1447=0.1,1,H1447=0.15,1,H1447=0.05,1,H1447=0,0)</f>
        <v>0</v>
      </c>
      <c r="Z1447">
        <f t="shared" si="159"/>
        <v>0</v>
      </c>
      <c r="AA1447">
        <f t="shared" si="160"/>
        <v>2025</v>
      </c>
    </row>
    <row r="1448" spans="1:27" x14ac:dyDescent="0.3">
      <c r="A1448" s="2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65</v>
      </c>
      <c r="L1448" t="s">
        <v>59</v>
      </c>
      <c r="M1448">
        <v>1</v>
      </c>
      <c r="N1448" t="s">
        <v>2832</v>
      </c>
      <c r="O1448" t="s">
        <v>2833</v>
      </c>
      <c r="P1448">
        <v>17.809999999999999</v>
      </c>
      <c r="Q1448" s="2">
        <v>45482</v>
      </c>
      <c r="R1448" s="2">
        <v>45490</v>
      </c>
      <c r="S1448" t="s">
        <v>50</v>
      </c>
      <c r="T1448">
        <f t="shared" si="154"/>
        <v>774.42599999999993</v>
      </c>
      <c r="U1448">
        <f t="shared" si="155"/>
        <v>15</v>
      </c>
      <c r="V1448">
        <f t="shared" si="156"/>
        <v>888.96</v>
      </c>
      <c r="W1448">
        <f t="shared" si="157"/>
        <v>133.34400000000005</v>
      </c>
      <c r="X1448">
        <f t="shared" si="158"/>
        <v>8</v>
      </c>
      <c r="Y1448" cm="1">
        <f t="array" ref="Y1448">_xlfn.IFS(H1448=0.1,1,H1448=0.15,1,H1448=0.05,1,H1448=0,0)</f>
        <v>1</v>
      </c>
      <c r="Z1448">
        <f t="shared" si="159"/>
        <v>16</v>
      </c>
      <c r="AA1448">
        <f t="shared" si="160"/>
        <v>2024</v>
      </c>
    </row>
    <row r="1449" spans="1:27" x14ac:dyDescent="0.3">
      <c r="A1449" s="2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4625.9299999999994</v>
      </c>
      <c r="K1449" t="s">
        <v>34</v>
      </c>
      <c r="L1449" t="s">
        <v>25</v>
      </c>
      <c r="M1449">
        <v>1</v>
      </c>
      <c r="N1449" t="s">
        <v>2834</v>
      </c>
      <c r="O1449" t="s">
        <v>2537</v>
      </c>
      <c r="P1449">
        <v>32.28</v>
      </c>
      <c r="Q1449" s="2">
        <v>45831</v>
      </c>
      <c r="R1449" s="2">
        <v>45841</v>
      </c>
      <c r="S1449" t="s">
        <v>28</v>
      </c>
      <c r="T1449">
        <f t="shared" si="154"/>
        <v>4659.2099999999991</v>
      </c>
      <c r="U1449">
        <f t="shared" si="155"/>
        <v>5</v>
      </c>
      <c r="V1449">
        <f t="shared" si="156"/>
        <v>4869.3999999999996</v>
      </c>
      <c r="W1449">
        <f t="shared" si="157"/>
        <v>243.47000000000025</v>
      </c>
      <c r="X1449">
        <f t="shared" si="158"/>
        <v>10</v>
      </c>
      <c r="Y1449" cm="1">
        <f t="array" ref="Y1449">_xlfn.IFS(H1449=0.1,1,H1449=0.15,1,H1449=0.05,1,H1449=0,0)</f>
        <v>1</v>
      </c>
      <c r="Z1449">
        <f t="shared" si="159"/>
        <v>20</v>
      </c>
      <c r="AA1449">
        <f t="shared" si="160"/>
        <v>2025</v>
      </c>
    </row>
    <row r="1450" spans="1:27" x14ac:dyDescent="0.3">
      <c r="A1450" s="2">
        <v>45452</v>
      </c>
      <c r="B1450" t="s">
        <v>19</v>
      </c>
      <c r="C1450" t="s">
        <v>81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L1450" t="s">
        <v>59</v>
      </c>
      <c r="M1450">
        <v>0</v>
      </c>
      <c r="N1450" t="s">
        <v>2835</v>
      </c>
      <c r="O1450" t="s">
        <v>1648</v>
      </c>
      <c r="P1450">
        <v>45.19</v>
      </c>
      <c r="Q1450" s="2">
        <v>45452</v>
      </c>
      <c r="R1450" s="2">
        <v>45461</v>
      </c>
      <c r="S1450" t="s">
        <v>28</v>
      </c>
      <c r="T1450">
        <f t="shared" si="154"/>
        <v>1882.5309999999999</v>
      </c>
      <c r="U1450">
        <f t="shared" si="155"/>
        <v>10</v>
      </c>
      <c r="V1450">
        <f t="shared" si="156"/>
        <v>2041.49</v>
      </c>
      <c r="W1450">
        <f t="shared" si="157"/>
        <v>204.14900000000011</v>
      </c>
      <c r="X1450">
        <f t="shared" si="158"/>
        <v>9</v>
      </c>
      <c r="Y1450" cm="1">
        <f t="array" ref="Y1450">_xlfn.IFS(H1450=0.1,1,H1450=0.15,1,H1450=0.05,1,H1450=0,0)</f>
        <v>1</v>
      </c>
      <c r="Z1450">
        <f t="shared" si="159"/>
        <v>11</v>
      </c>
      <c r="AA1450">
        <f t="shared" si="160"/>
        <v>2024</v>
      </c>
    </row>
    <row r="1451" spans="1:27" x14ac:dyDescent="0.3">
      <c r="A1451" s="2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2836</v>
      </c>
      <c r="O1451" t="s">
        <v>2837</v>
      </c>
      <c r="P1451">
        <v>24.8</v>
      </c>
      <c r="Q1451" s="2">
        <v>45261</v>
      </c>
      <c r="R1451" s="2">
        <v>45263</v>
      </c>
      <c r="S1451" t="s">
        <v>50</v>
      </c>
      <c r="T1451">
        <f t="shared" si="154"/>
        <v>3654.9210000000003</v>
      </c>
      <c r="U1451">
        <f t="shared" si="155"/>
        <v>5</v>
      </c>
      <c r="V1451">
        <f t="shared" si="156"/>
        <v>3821.18</v>
      </c>
      <c r="W1451">
        <f t="shared" si="157"/>
        <v>191.05899999999974</v>
      </c>
      <c r="X1451">
        <f t="shared" si="158"/>
        <v>2</v>
      </c>
      <c r="Y1451" cm="1">
        <f t="array" ref="Y1451">_xlfn.IFS(H1451=0.1,1,H1451=0.15,1,H1451=0.05,1,H1451=0,0)</f>
        <v>1</v>
      </c>
      <c r="Z1451">
        <f t="shared" si="159"/>
        <v>11</v>
      </c>
      <c r="AA1451">
        <f t="shared" si="160"/>
        <v>2023</v>
      </c>
    </row>
    <row r="1452" spans="1:27" x14ac:dyDescent="0.3">
      <c r="A1452" s="2">
        <v>45497</v>
      </c>
      <c r="B1452" t="s">
        <v>71</v>
      </c>
      <c r="C1452" t="s">
        <v>81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2838</v>
      </c>
      <c r="O1452" t="s">
        <v>2839</v>
      </c>
      <c r="P1452">
        <v>24.38</v>
      </c>
      <c r="Q1452" s="2">
        <v>45497</v>
      </c>
      <c r="R1452" s="2">
        <v>45503</v>
      </c>
      <c r="S1452" t="s">
        <v>74</v>
      </c>
      <c r="T1452">
        <f t="shared" si="154"/>
        <v>4557.3074999999999</v>
      </c>
      <c r="U1452">
        <f t="shared" si="155"/>
        <v>5</v>
      </c>
      <c r="V1452">
        <f t="shared" si="156"/>
        <v>4770.45</v>
      </c>
      <c r="W1452">
        <f t="shared" si="157"/>
        <v>238.52250000000004</v>
      </c>
      <c r="X1452">
        <f t="shared" si="158"/>
        <v>6</v>
      </c>
      <c r="Y1452" cm="1">
        <f t="array" ref="Y1452">_xlfn.IFS(H1452=0.1,1,H1452=0.15,1,H1452=0.05,1,H1452=0,0)</f>
        <v>1</v>
      </c>
      <c r="Z1452">
        <f t="shared" si="159"/>
        <v>15</v>
      </c>
      <c r="AA1452">
        <f t="shared" si="160"/>
        <v>2024</v>
      </c>
    </row>
    <row r="1453" spans="1:27" x14ac:dyDescent="0.3">
      <c r="A1453" s="2">
        <v>45028</v>
      </c>
      <c r="B1453" t="s">
        <v>71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65</v>
      </c>
      <c r="L1453" t="s">
        <v>41</v>
      </c>
      <c r="M1453">
        <v>1</v>
      </c>
      <c r="N1453" t="s">
        <v>2840</v>
      </c>
      <c r="O1453" t="s">
        <v>2031</v>
      </c>
      <c r="P1453">
        <v>14.92</v>
      </c>
      <c r="Q1453" s="2">
        <v>45028</v>
      </c>
      <c r="R1453" s="2">
        <v>45035</v>
      </c>
      <c r="S1453" t="s">
        <v>74</v>
      </c>
      <c r="T1453">
        <f t="shared" si="154"/>
        <v>3105.8825000000002</v>
      </c>
      <c r="U1453">
        <f t="shared" si="155"/>
        <v>15</v>
      </c>
      <c r="V1453">
        <f t="shared" si="156"/>
        <v>3635.25</v>
      </c>
      <c r="W1453">
        <f t="shared" si="157"/>
        <v>545.28749999999991</v>
      </c>
      <c r="X1453">
        <f t="shared" si="158"/>
        <v>7</v>
      </c>
      <c r="Y1453" cm="1">
        <f t="array" ref="Y1453">_xlfn.IFS(H1453=0.1,1,H1453=0.15,1,H1453=0.05,1,H1453=0,0)</f>
        <v>1</v>
      </c>
      <c r="Z1453">
        <f t="shared" si="159"/>
        <v>15</v>
      </c>
      <c r="AA1453">
        <f t="shared" si="160"/>
        <v>2023</v>
      </c>
    </row>
    <row r="1454" spans="1:27" x14ac:dyDescent="0.3">
      <c r="A1454" s="2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2841</v>
      </c>
      <c r="O1454" t="s">
        <v>2842</v>
      </c>
      <c r="P1454">
        <v>12.63</v>
      </c>
      <c r="Q1454" s="2">
        <v>45643</v>
      </c>
      <c r="R1454" s="2">
        <v>45652</v>
      </c>
      <c r="S1454" t="s">
        <v>44</v>
      </c>
      <c r="T1454">
        <f t="shared" si="154"/>
        <v>222.95949999999999</v>
      </c>
      <c r="U1454">
        <f t="shared" si="155"/>
        <v>15</v>
      </c>
      <c r="V1454">
        <f t="shared" si="156"/>
        <v>246.27</v>
      </c>
      <c r="W1454">
        <f t="shared" si="157"/>
        <v>36.940500000000014</v>
      </c>
      <c r="X1454">
        <f t="shared" si="158"/>
        <v>9</v>
      </c>
      <c r="Y1454" cm="1">
        <f t="array" ref="Y1454">_xlfn.IFS(H1454=0.1,1,H1454=0.15,1,H1454=0.05,1,H1454=0,0)</f>
        <v>1</v>
      </c>
      <c r="Z1454">
        <f t="shared" si="159"/>
        <v>3</v>
      </c>
      <c r="AA1454">
        <f t="shared" si="160"/>
        <v>2024</v>
      </c>
    </row>
    <row r="1455" spans="1:27" x14ac:dyDescent="0.3">
      <c r="A1455" s="2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65</v>
      </c>
      <c r="L1455" t="s">
        <v>41</v>
      </c>
      <c r="M1455">
        <v>1</v>
      </c>
      <c r="N1455" t="s">
        <v>2843</v>
      </c>
      <c r="O1455" t="s">
        <v>2844</v>
      </c>
      <c r="P1455">
        <v>26.68</v>
      </c>
      <c r="Q1455" s="2">
        <v>45512</v>
      </c>
      <c r="R1455" s="2">
        <v>45518</v>
      </c>
      <c r="S1455" t="s">
        <v>38</v>
      </c>
      <c r="T1455">
        <f t="shared" si="154"/>
        <v>2456.3849999999998</v>
      </c>
      <c r="U1455">
        <f t="shared" si="155"/>
        <v>15</v>
      </c>
      <c r="V1455">
        <f t="shared" si="156"/>
        <v>2857.3</v>
      </c>
      <c r="W1455">
        <f t="shared" si="157"/>
        <v>428.59500000000025</v>
      </c>
      <c r="X1455">
        <f t="shared" si="158"/>
        <v>6</v>
      </c>
      <c r="Y1455" cm="1">
        <f t="array" ref="Y1455">_xlfn.IFS(H1455=0.1,1,H1455=0.15,1,H1455=0.05,1,H1455=0,0)</f>
        <v>1</v>
      </c>
      <c r="Z1455">
        <f t="shared" si="159"/>
        <v>10</v>
      </c>
      <c r="AA1455">
        <f t="shared" si="160"/>
        <v>2024</v>
      </c>
    </row>
    <row r="1456" spans="1:27" x14ac:dyDescent="0.3">
      <c r="A1456" s="2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2845</v>
      </c>
      <c r="O1456" t="s">
        <v>2478</v>
      </c>
      <c r="P1456">
        <v>16.670000000000002</v>
      </c>
      <c r="Q1456" s="2">
        <v>45550</v>
      </c>
      <c r="R1456" s="2">
        <v>45557</v>
      </c>
      <c r="S1456" t="s">
        <v>28</v>
      </c>
      <c r="T1456">
        <f t="shared" si="154"/>
        <v>5241.9260000000004</v>
      </c>
      <c r="U1456">
        <f t="shared" si="155"/>
        <v>10</v>
      </c>
      <c r="V1456">
        <f t="shared" si="156"/>
        <v>5805.84</v>
      </c>
      <c r="W1456">
        <f t="shared" si="157"/>
        <v>580.58399999999983</v>
      </c>
      <c r="X1456">
        <f t="shared" si="158"/>
        <v>7</v>
      </c>
      <c r="Y1456" cm="1">
        <f t="array" ref="Y1456">_xlfn.IFS(H1456=0.1,1,H1456=0.15,1,H1456=0.05,1,H1456=0,0)</f>
        <v>1</v>
      </c>
      <c r="Z1456">
        <f t="shared" si="159"/>
        <v>17</v>
      </c>
      <c r="AA1456">
        <f t="shared" si="160"/>
        <v>2024</v>
      </c>
    </row>
    <row r="1457" spans="1:27" x14ac:dyDescent="0.3">
      <c r="A1457" s="2">
        <v>45207</v>
      </c>
      <c r="B1457" t="s">
        <v>29</v>
      </c>
      <c r="C1457" t="s">
        <v>81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62</v>
      </c>
      <c r="L1457" t="s">
        <v>41</v>
      </c>
      <c r="M1457">
        <v>0</v>
      </c>
      <c r="N1457" t="s">
        <v>2846</v>
      </c>
      <c r="O1457" t="s">
        <v>2694</v>
      </c>
      <c r="P1457">
        <v>40.74</v>
      </c>
      <c r="Q1457" s="2">
        <v>45207</v>
      </c>
      <c r="R1457" s="2">
        <v>45209</v>
      </c>
      <c r="S1457" t="s">
        <v>38</v>
      </c>
      <c r="T1457">
        <f t="shared" si="154"/>
        <v>2767.3799999999997</v>
      </c>
      <c r="U1457">
        <f t="shared" si="155"/>
        <v>10</v>
      </c>
      <c r="V1457">
        <f t="shared" si="156"/>
        <v>3029.6</v>
      </c>
      <c r="W1457">
        <f t="shared" si="157"/>
        <v>302.96000000000004</v>
      </c>
      <c r="X1457">
        <f t="shared" si="158"/>
        <v>2</v>
      </c>
      <c r="Y1457" cm="1">
        <f t="array" ref="Y1457">_xlfn.IFS(H1457=0.1,1,H1457=0.15,1,H1457=0.05,1,H1457=0,0)</f>
        <v>1</v>
      </c>
      <c r="Z1457">
        <f t="shared" si="159"/>
        <v>14</v>
      </c>
      <c r="AA1457">
        <f t="shared" si="160"/>
        <v>2023</v>
      </c>
    </row>
    <row r="1458" spans="1:27" x14ac:dyDescent="0.3">
      <c r="A1458" s="2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68</v>
      </c>
      <c r="J1458">
        <v>3151.9360000000001</v>
      </c>
      <c r="K1458" t="s">
        <v>24</v>
      </c>
      <c r="L1458" t="s">
        <v>41</v>
      </c>
      <c r="M1458">
        <v>1</v>
      </c>
      <c r="N1458" t="s">
        <v>2847</v>
      </c>
      <c r="O1458" t="s">
        <v>2848</v>
      </c>
      <c r="P1458">
        <v>9.42</v>
      </c>
      <c r="Q1458" s="2">
        <v>45800</v>
      </c>
      <c r="R1458" s="2">
        <v>45804</v>
      </c>
      <c r="S1458" t="s">
        <v>38</v>
      </c>
      <c r="T1458">
        <f t="shared" si="154"/>
        <v>3162.3560000000002</v>
      </c>
      <c r="U1458">
        <f t="shared" si="155"/>
        <v>15</v>
      </c>
      <c r="V1458">
        <f t="shared" si="156"/>
        <v>3708.16</v>
      </c>
      <c r="W1458">
        <f t="shared" si="157"/>
        <v>556.22399999999971</v>
      </c>
      <c r="X1458">
        <f t="shared" si="158"/>
        <v>4</v>
      </c>
      <c r="Y1458" cm="1">
        <f t="array" ref="Y1458">_xlfn.IFS(H1458=0.1,1,H1458=0.15,1,H1458=0.05,1,H1458=0,0)</f>
        <v>1</v>
      </c>
      <c r="Z1458">
        <f t="shared" si="159"/>
        <v>16</v>
      </c>
      <c r="AA1458">
        <f t="shared" si="160"/>
        <v>2025</v>
      </c>
    </row>
    <row r="1459" spans="1:27" x14ac:dyDescent="0.3">
      <c r="A1459" s="2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2849</v>
      </c>
      <c r="O1459" t="s">
        <v>2850</v>
      </c>
      <c r="P1459">
        <v>14.44</v>
      </c>
      <c r="Q1459" s="2">
        <v>44928</v>
      </c>
      <c r="R1459" s="2">
        <v>44938</v>
      </c>
      <c r="S1459" t="s">
        <v>38</v>
      </c>
      <c r="T1459">
        <f t="shared" si="154"/>
        <v>380.18650000000002</v>
      </c>
      <c r="U1459">
        <f t="shared" si="155"/>
        <v>15</v>
      </c>
      <c r="V1459">
        <f t="shared" si="156"/>
        <v>430.28999999999996</v>
      </c>
      <c r="W1459">
        <f t="shared" si="157"/>
        <v>64.543499999999938</v>
      </c>
      <c r="X1459">
        <f t="shared" si="158"/>
        <v>10</v>
      </c>
      <c r="Y1459" cm="1">
        <f t="array" ref="Y1459">_xlfn.IFS(H1459=0.1,1,H1459=0.15,1,H1459=0.05,1,H1459=0,0)</f>
        <v>1</v>
      </c>
      <c r="Z1459">
        <f t="shared" si="159"/>
        <v>7</v>
      </c>
      <c r="AA1459">
        <f t="shared" si="160"/>
        <v>2023</v>
      </c>
    </row>
    <row r="1460" spans="1:27" x14ac:dyDescent="0.3">
      <c r="A1460" s="2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68</v>
      </c>
      <c r="J1460">
        <v>6516.6</v>
      </c>
      <c r="K1460" t="s">
        <v>62</v>
      </c>
      <c r="L1460" t="s">
        <v>59</v>
      </c>
      <c r="M1460">
        <v>1</v>
      </c>
      <c r="N1460" t="s">
        <v>2851</v>
      </c>
      <c r="O1460" t="s">
        <v>2852</v>
      </c>
      <c r="P1460">
        <v>33.86</v>
      </c>
      <c r="Q1460" s="2">
        <v>45218</v>
      </c>
      <c r="R1460" s="2">
        <v>45227</v>
      </c>
      <c r="S1460" t="s">
        <v>44</v>
      </c>
      <c r="T1460">
        <f t="shared" si="154"/>
        <v>6551.46</v>
      </c>
      <c r="U1460">
        <f t="shared" si="155"/>
        <v>0</v>
      </c>
      <c r="V1460">
        <f t="shared" si="156"/>
        <v>6516.6</v>
      </c>
      <c r="W1460">
        <f t="shared" si="157"/>
        <v>0</v>
      </c>
      <c r="X1460">
        <f t="shared" si="158"/>
        <v>9</v>
      </c>
      <c r="Y1460" cm="1">
        <f t="array" ref="Y1460">_xlfn.IFS(H1460=0.1,1,H1460=0.15,1,H1460=0.05,1,H1460=0,0)</f>
        <v>0</v>
      </c>
      <c r="Z1460">
        <f t="shared" si="159"/>
        <v>0</v>
      </c>
      <c r="AA1460">
        <f t="shared" si="160"/>
        <v>2023</v>
      </c>
    </row>
    <row r="1461" spans="1:27" x14ac:dyDescent="0.3">
      <c r="A1461" s="2">
        <v>45772</v>
      </c>
      <c r="B1461" t="s">
        <v>71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2853</v>
      </c>
      <c r="O1461" t="s">
        <v>2854</v>
      </c>
      <c r="P1461">
        <v>9.65</v>
      </c>
      <c r="Q1461" s="2">
        <v>45772</v>
      </c>
      <c r="R1461" s="2">
        <v>45778</v>
      </c>
      <c r="S1461" t="s">
        <v>74</v>
      </c>
      <c r="T1461">
        <f t="shared" si="154"/>
        <v>7754.8099999999995</v>
      </c>
      <c r="U1461">
        <f t="shared" si="155"/>
        <v>0</v>
      </c>
      <c r="V1461">
        <f t="shared" si="156"/>
        <v>7744.16</v>
      </c>
      <c r="W1461">
        <f t="shared" si="157"/>
        <v>0</v>
      </c>
      <c r="X1461">
        <f t="shared" si="158"/>
        <v>6</v>
      </c>
      <c r="Y1461" cm="1">
        <f t="array" ref="Y1461">_xlfn.IFS(H1461=0.1,1,H1461=0.15,1,H1461=0.05,1,H1461=0,0)</f>
        <v>0</v>
      </c>
      <c r="Z1461">
        <f t="shared" si="159"/>
        <v>0</v>
      </c>
      <c r="AA1461">
        <f t="shared" si="160"/>
        <v>2025</v>
      </c>
    </row>
    <row r="1462" spans="1:27" x14ac:dyDescent="0.3">
      <c r="A1462" s="2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2855</v>
      </c>
      <c r="O1462" t="s">
        <v>2856</v>
      </c>
      <c r="P1462">
        <v>9.85</v>
      </c>
      <c r="Q1462" s="2">
        <v>45382</v>
      </c>
      <c r="R1462" s="2">
        <v>45386</v>
      </c>
      <c r="S1462" t="s">
        <v>50</v>
      </c>
      <c r="T1462">
        <f t="shared" si="154"/>
        <v>120.00999999999999</v>
      </c>
      <c r="U1462">
        <f t="shared" si="155"/>
        <v>0</v>
      </c>
      <c r="V1462">
        <f t="shared" si="156"/>
        <v>110.16</v>
      </c>
      <c r="W1462">
        <f t="shared" si="157"/>
        <v>0</v>
      </c>
      <c r="X1462">
        <f t="shared" si="158"/>
        <v>4</v>
      </c>
      <c r="Y1462" cm="1">
        <f t="array" ref="Y1462">_xlfn.IFS(H1462=0.1,1,H1462=0.15,1,H1462=0.05,1,H1462=0,0)</f>
        <v>0</v>
      </c>
      <c r="Z1462">
        <f t="shared" si="159"/>
        <v>0</v>
      </c>
      <c r="AA1462">
        <f t="shared" si="160"/>
        <v>2024</v>
      </c>
    </row>
    <row r="1463" spans="1:27" x14ac:dyDescent="0.3">
      <c r="A1463" s="2">
        <v>45688</v>
      </c>
      <c r="B1463" t="s">
        <v>39</v>
      </c>
      <c r="C1463" t="s">
        <v>132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L1463" t="s">
        <v>59</v>
      </c>
      <c r="M1463">
        <v>1</v>
      </c>
      <c r="N1463" t="s">
        <v>2857</v>
      </c>
      <c r="O1463" t="s">
        <v>2858</v>
      </c>
      <c r="P1463">
        <v>38.46</v>
      </c>
      <c r="Q1463" s="2">
        <v>45688</v>
      </c>
      <c r="R1463" s="2">
        <v>45695</v>
      </c>
      <c r="S1463" t="s">
        <v>44</v>
      </c>
      <c r="T1463">
        <f t="shared" si="154"/>
        <v>2508.4720000000002</v>
      </c>
      <c r="U1463">
        <f t="shared" si="155"/>
        <v>15</v>
      </c>
      <c r="V1463">
        <f t="shared" si="156"/>
        <v>2904.72</v>
      </c>
      <c r="W1463">
        <f t="shared" si="157"/>
        <v>435.70799999999963</v>
      </c>
      <c r="X1463">
        <f t="shared" si="158"/>
        <v>7</v>
      </c>
      <c r="Y1463" cm="1">
        <f t="array" ref="Y1463">_xlfn.IFS(H1463=0.1,1,H1463=0.15,1,H1463=0.05,1,H1463=0,0)</f>
        <v>1</v>
      </c>
      <c r="Z1463">
        <f t="shared" si="159"/>
        <v>13</v>
      </c>
      <c r="AA1463">
        <f t="shared" si="160"/>
        <v>2025</v>
      </c>
    </row>
    <row r="1464" spans="1:27" x14ac:dyDescent="0.3">
      <c r="A1464" s="2">
        <v>45743</v>
      </c>
      <c r="B1464" t="s">
        <v>19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65</v>
      </c>
      <c r="L1464" t="s">
        <v>59</v>
      </c>
      <c r="M1464">
        <v>0</v>
      </c>
      <c r="N1464" t="s">
        <v>2859</v>
      </c>
      <c r="O1464" t="s">
        <v>2860</v>
      </c>
      <c r="P1464">
        <v>25.82</v>
      </c>
      <c r="Q1464" s="2">
        <v>45743</v>
      </c>
      <c r="R1464" s="2">
        <v>45753</v>
      </c>
      <c r="S1464" t="s">
        <v>28</v>
      </c>
      <c r="T1464">
        <f t="shared" si="154"/>
        <v>5753.2559999999994</v>
      </c>
      <c r="U1464">
        <f t="shared" si="155"/>
        <v>5</v>
      </c>
      <c r="V1464">
        <f t="shared" si="156"/>
        <v>6028.88</v>
      </c>
      <c r="W1464">
        <f t="shared" si="157"/>
        <v>301.44400000000041</v>
      </c>
      <c r="X1464">
        <f t="shared" si="158"/>
        <v>10</v>
      </c>
      <c r="Y1464" cm="1">
        <f t="array" ref="Y1464">_xlfn.IFS(H1464=0.1,1,H1464=0.15,1,H1464=0.05,1,H1464=0,0)</f>
        <v>1</v>
      </c>
      <c r="Z1464">
        <f t="shared" si="159"/>
        <v>11</v>
      </c>
      <c r="AA1464">
        <f t="shared" si="160"/>
        <v>2025</v>
      </c>
    </row>
    <row r="1465" spans="1:27" x14ac:dyDescent="0.3">
      <c r="A1465" s="2">
        <v>45676</v>
      </c>
      <c r="B1465" t="s">
        <v>45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62</v>
      </c>
      <c r="L1465" t="s">
        <v>59</v>
      </c>
      <c r="M1465">
        <v>1</v>
      </c>
      <c r="N1465" t="s">
        <v>2861</v>
      </c>
      <c r="O1465" t="s">
        <v>2154</v>
      </c>
      <c r="P1465">
        <v>30.18</v>
      </c>
      <c r="Q1465" s="2">
        <v>45676</v>
      </c>
      <c r="R1465" s="2">
        <v>45681</v>
      </c>
      <c r="S1465" t="s">
        <v>50</v>
      </c>
      <c r="T1465">
        <f t="shared" si="154"/>
        <v>1501.22</v>
      </c>
      <c r="U1465">
        <f t="shared" si="155"/>
        <v>0</v>
      </c>
      <c r="V1465">
        <f t="shared" si="156"/>
        <v>1470.04</v>
      </c>
      <c r="W1465">
        <f t="shared" si="157"/>
        <v>0</v>
      </c>
      <c r="X1465">
        <f t="shared" si="158"/>
        <v>5</v>
      </c>
      <c r="Y1465" cm="1">
        <f t="array" ref="Y1465">_xlfn.IFS(H1465=0.1,1,H1465=0.15,1,H1465=0.05,1,H1465=0,0)</f>
        <v>0</v>
      </c>
      <c r="Z1465">
        <f t="shared" si="159"/>
        <v>0</v>
      </c>
      <c r="AA1465">
        <f t="shared" si="160"/>
        <v>2025</v>
      </c>
    </row>
    <row r="1466" spans="1:27" x14ac:dyDescent="0.3">
      <c r="A1466" s="2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68</v>
      </c>
      <c r="J1466">
        <v>6307.3350000000009</v>
      </c>
      <c r="K1466" t="s">
        <v>34</v>
      </c>
      <c r="L1466" t="s">
        <v>25</v>
      </c>
      <c r="M1466">
        <v>0</v>
      </c>
      <c r="N1466" t="s">
        <v>2862</v>
      </c>
      <c r="O1466" t="s">
        <v>2863</v>
      </c>
      <c r="P1466">
        <v>35.369999999999997</v>
      </c>
      <c r="Q1466" s="2">
        <v>45428</v>
      </c>
      <c r="R1466" s="2">
        <v>45433</v>
      </c>
      <c r="S1466" t="s">
        <v>44</v>
      </c>
      <c r="T1466">
        <f t="shared" si="154"/>
        <v>6342.7050000000008</v>
      </c>
      <c r="U1466">
        <f t="shared" si="155"/>
        <v>10</v>
      </c>
      <c r="V1466">
        <f t="shared" si="156"/>
        <v>7008.1500000000005</v>
      </c>
      <c r="W1466">
        <f t="shared" si="157"/>
        <v>700.8149999999996</v>
      </c>
      <c r="X1466">
        <f t="shared" si="158"/>
        <v>5</v>
      </c>
      <c r="Y1466" cm="1">
        <f t="array" ref="Y1466">_xlfn.IFS(H1466=0.1,1,H1466=0.15,1,H1466=0.05,1,H1466=0,0)</f>
        <v>1</v>
      </c>
      <c r="Z1466">
        <f t="shared" si="159"/>
        <v>19</v>
      </c>
      <c r="AA1466">
        <f t="shared" si="160"/>
        <v>2024</v>
      </c>
    </row>
    <row r="1467" spans="1:27" x14ac:dyDescent="0.3">
      <c r="A1467" s="2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68</v>
      </c>
      <c r="J1467">
        <v>1623.72</v>
      </c>
      <c r="K1467" t="s">
        <v>62</v>
      </c>
      <c r="L1467" t="s">
        <v>59</v>
      </c>
      <c r="M1467">
        <v>0</v>
      </c>
      <c r="N1467" t="s">
        <v>2864</v>
      </c>
      <c r="O1467" t="s">
        <v>2865</v>
      </c>
      <c r="P1467">
        <v>31.85</v>
      </c>
      <c r="Q1467" s="2">
        <v>45173</v>
      </c>
      <c r="R1467" s="2">
        <v>45175</v>
      </c>
      <c r="S1467" t="s">
        <v>50</v>
      </c>
      <c r="T1467">
        <f t="shared" si="154"/>
        <v>1655.57</v>
      </c>
      <c r="U1467">
        <f t="shared" si="155"/>
        <v>0</v>
      </c>
      <c r="V1467">
        <f t="shared" si="156"/>
        <v>1623.72</v>
      </c>
      <c r="W1467">
        <f t="shared" si="157"/>
        <v>0</v>
      </c>
      <c r="X1467">
        <f t="shared" si="158"/>
        <v>2</v>
      </c>
      <c r="Y1467" cm="1">
        <f t="array" ref="Y1467">_xlfn.IFS(H1467=0.1,1,H1467=0.15,1,H1467=0.05,1,H1467=0,0)</f>
        <v>0</v>
      </c>
      <c r="Z1467">
        <f t="shared" si="159"/>
        <v>0</v>
      </c>
      <c r="AA1467">
        <f t="shared" si="160"/>
        <v>2023</v>
      </c>
    </row>
    <row r="1468" spans="1:27" x14ac:dyDescent="0.3">
      <c r="A1468" s="2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L1468" t="s">
        <v>59</v>
      </c>
      <c r="M1468">
        <v>0</v>
      </c>
      <c r="N1468" t="s">
        <v>2866</v>
      </c>
      <c r="O1468" t="s">
        <v>2867</v>
      </c>
      <c r="P1468">
        <v>31.09</v>
      </c>
      <c r="Q1468" s="2">
        <v>45277</v>
      </c>
      <c r="R1468" s="2">
        <v>45283</v>
      </c>
      <c r="S1468" t="s">
        <v>38</v>
      </c>
      <c r="T1468">
        <f t="shared" si="154"/>
        <v>452.14599999999996</v>
      </c>
      <c r="U1468">
        <f t="shared" si="155"/>
        <v>15</v>
      </c>
      <c r="V1468">
        <f t="shared" si="156"/>
        <v>495.36</v>
      </c>
      <c r="W1468">
        <f t="shared" si="157"/>
        <v>74.30400000000003</v>
      </c>
      <c r="X1468">
        <f t="shared" si="158"/>
        <v>6</v>
      </c>
      <c r="Y1468" cm="1">
        <f t="array" ref="Y1468">_xlfn.IFS(H1468=0.1,1,H1468=0.15,1,H1468=0.05,1,H1468=0,0)</f>
        <v>1</v>
      </c>
      <c r="Z1468">
        <f t="shared" si="159"/>
        <v>9</v>
      </c>
      <c r="AA1468">
        <f t="shared" si="160"/>
        <v>2023</v>
      </c>
    </row>
    <row r="1469" spans="1:27" x14ac:dyDescent="0.3">
      <c r="A1469" s="2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2868</v>
      </c>
      <c r="O1469" t="s">
        <v>2869</v>
      </c>
      <c r="P1469">
        <v>32.36</v>
      </c>
      <c r="Q1469" s="2">
        <v>45306</v>
      </c>
      <c r="R1469" s="2">
        <v>45312</v>
      </c>
      <c r="S1469" t="s">
        <v>50</v>
      </c>
      <c r="T1469">
        <f t="shared" si="154"/>
        <v>638.61199999999997</v>
      </c>
      <c r="U1469">
        <f t="shared" si="155"/>
        <v>5</v>
      </c>
      <c r="V1469">
        <f t="shared" si="156"/>
        <v>638.16</v>
      </c>
      <c r="W1469">
        <f t="shared" si="157"/>
        <v>31.908000000000015</v>
      </c>
      <c r="X1469">
        <f t="shared" si="158"/>
        <v>6</v>
      </c>
      <c r="Y1469" cm="1">
        <f t="array" ref="Y1469">_xlfn.IFS(H1469=0.1,1,H1469=0.15,1,H1469=0.05,1,H1469=0,0)</f>
        <v>1</v>
      </c>
      <c r="Z1469">
        <f t="shared" si="159"/>
        <v>4</v>
      </c>
      <c r="AA1469">
        <f t="shared" si="160"/>
        <v>2024</v>
      </c>
    </row>
    <row r="1470" spans="1:27" x14ac:dyDescent="0.3">
      <c r="A1470" s="2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2870</v>
      </c>
      <c r="O1470" t="s">
        <v>2871</v>
      </c>
      <c r="P1470">
        <v>35.94</v>
      </c>
      <c r="Q1470" s="2">
        <v>45645</v>
      </c>
      <c r="R1470" s="2">
        <v>45655</v>
      </c>
      <c r="S1470" t="s">
        <v>50</v>
      </c>
      <c r="T1470">
        <f t="shared" si="154"/>
        <v>2288.19</v>
      </c>
      <c r="U1470">
        <f t="shared" si="155"/>
        <v>0</v>
      </c>
      <c r="V1470">
        <f t="shared" si="156"/>
        <v>2252.25</v>
      </c>
      <c r="W1470">
        <f t="shared" si="157"/>
        <v>0</v>
      </c>
      <c r="X1470">
        <f t="shared" si="158"/>
        <v>10</v>
      </c>
      <c r="Y1470" cm="1">
        <f t="array" ref="Y1470">_xlfn.IFS(H1470=0.1,1,H1470=0.15,1,H1470=0.05,1,H1470=0,0)</f>
        <v>0</v>
      </c>
      <c r="Z1470">
        <f t="shared" si="159"/>
        <v>0</v>
      </c>
      <c r="AA1470">
        <f t="shared" si="160"/>
        <v>2024</v>
      </c>
    </row>
    <row r="1471" spans="1:27" x14ac:dyDescent="0.3">
      <c r="A1471" s="2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68</v>
      </c>
      <c r="J1471">
        <v>521.37</v>
      </c>
      <c r="K1471" t="s">
        <v>34</v>
      </c>
      <c r="L1471" t="s">
        <v>25</v>
      </c>
      <c r="M1471">
        <v>1</v>
      </c>
      <c r="N1471" t="s">
        <v>2872</v>
      </c>
      <c r="O1471" t="s">
        <v>768</v>
      </c>
      <c r="P1471">
        <v>28.73</v>
      </c>
      <c r="Q1471" s="2">
        <v>45276</v>
      </c>
      <c r="R1471" s="2">
        <v>45278</v>
      </c>
      <c r="S1471" t="s">
        <v>44</v>
      </c>
      <c r="T1471">
        <f t="shared" si="154"/>
        <v>551.1</v>
      </c>
      <c r="U1471">
        <f t="shared" si="155"/>
        <v>0</v>
      </c>
      <c r="V1471">
        <f t="shared" si="156"/>
        <v>521.37</v>
      </c>
      <c r="W1471">
        <f t="shared" si="157"/>
        <v>0</v>
      </c>
      <c r="X1471">
        <f t="shared" si="158"/>
        <v>2</v>
      </c>
      <c r="Y1471" cm="1">
        <f t="array" ref="Y1471">_xlfn.IFS(H1471=0.1,1,H1471=0.15,1,H1471=0.05,1,H1471=0,0)</f>
        <v>0</v>
      </c>
      <c r="Z1471">
        <f t="shared" si="159"/>
        <v>0</v>
      </c>
      <c r="AA1471">
        <f t="shared" si="160"/>
        <v>2023</v>
      </c>
    </row>
    <row r="1472" spans="1:27" x14ac:dyDescent="0.3">
      <c r="A1472" s="2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2873</v>
      </c>
      <c r="O1472" t="s">
        <v>2874</v>
      </c>
      <c r="P1472">
        <v>5.0999999999999996</v>
      </c>
      <c r="Q1472" s="2">
        <v>45791</v>
      </c>
      <c r="R1472" s="2">
        <v>45795</v>
      </c>
      <c r="S1472" t="s">
        <v>50</v>
      </c>
      <c r="T1472">
        <f t="shared" si="154"/>
        <v>1671.704</v>
      </c>
      <c r="U1472">
        <f t="shared" si="155"/>
        <v>5</v>
      </c>
      <c r="V1472">
        <f t="shared" si="156"/>
        <v>1754.32</v>
      </c>
      <c r="W1472">
        <f t="shared" si="157"/>
        <v>87.715999999999894</v>
      </c>
      <c r="X1472">
        <f t="shared" si="158"/>
        <v>4</v>
      </c>
      <c r="Y1472" cm="1">
        <f t="array" ref="Y1472">_xlfn.IFS(H1472=0.1,1,H1472=0.15,1,H1472=0.05,1,H1472=0,0)</f>
        <v>1</v>
      </c>
      <c r="Z1472">
        <f t="shared" si="159"/>
        <v>4</v>
      </c>
      <c r="AA1472">
        <f t="shared" si="160"/>
        <v>2025</v>
      </c>
    </row>
    <row r="1473" spans="1:27" x14ac:dyDescent="0.3">
      <c r="A1473" s="2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65</v>
      </c>
      <c r="L1473" t="s">
        <v>41</v>
      </c>
      <c r="M1473">
        <v>0</v>
      </c>
      <c r="N1473" t="s">
        <v>2875</v>
      </c>
      <c r="O1473" t="s">
        <v>1491</v>
      </c>
      <c r="P1473">
        <v>35.32</v>
      </c>
      <c r="Q1473" s="2">
        <v>45107</v>
      </c>
      <c r="R1473" s="2">
        <v>45109</v>
      </c>
      <c r="S1473" t="s">
        <v>38</v>
      </c>
      <c r="T1473">
        <f t="shared" si="154"/>
        <v>3252.76</v>
      </c>
      <c r="U1473">
        <f t="shared" si="155"/>
        <v>0</v>
      </c>
      <c r="V1473">
        <f t="shared" si="156"/>
        <v>3217.44</v>
      </c>
      <c r="W1473">
        <f t="shared" si="157"/>
        <v>0</v>
      </c>
      <c r="X1473">
        <f t="shared" si="158"/>
        <v>2</v>
      </c>
      <c r="Y1473" cm="1">
        <f t="array" ref="Y1473">_xlfn.IFS(H1473=0.1,1,H1473=0.15,1,H1473=0.05,1,H1473=0,0)</f>
        <v>0</v>
      </c>
      <c r="Z1473">
        <f t="shared" si="159"/>
        <v>0</v>
      </c>
      <c r="AA1473">
        <f t="shared" si="160"/>
        <v>2023</v>
      </c>
    </row>
    <row r="1474" spans="1:27" x14ac:dyDescent="0.3">
      <c r="A1474" s="2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L1474" t="s">
        <v>59</v>
      </c>
      <c r="M1474">
        <v>1</v>
      </c>
      <c r="N1474" t="s">
        <v>2876</v>
      </c>
      <c r="O1474" t="s">
        <v>2877</v>
      </c>
      <c r="P1474">
        <v>20.05</v>
      </c>
      <c r="Q1474" s="2">
        <v>45838</v>
      </c>
      <c r="R1474" s="2">
        <v>45845</v>
      </c>
      <c r="S1474" t="s">
        <v>38</v>
      </c>
      <c r="T1474">
        <f t="shared" si="154"/>
        <v>8026.91</v>
      </c>
      <c r="U1474">
        <f t="shared" si="155"/>
        <v>10</v>
      </c>
      <c r="V1474">
        <f t="shared" si="156"/>
        <v>8895.4</v>
      </c>
      <c r="W1474">
        <f t="shared" si="157"/>
        <v>889.54</v>
      </c>
      <c r="X1474">
        <f t="shared" si="158"/>
        <v>7</v>
      </c>
      <c r="Y1474" cm="1">
        <f t="array" ref="Y1474">_xlfn.IFS(H1474=0.1,1,H1474=0.15,1,H1474=0.05,1,H1474=0,0)</f>
        <v>1</v>
      </c>
      <c r="Z1474">
        <f t="shared" si="159"/>
        <v>20</v>
      </c>
      <c r="AA1474">
        <f t="shared" si="160"/>
        <v>2025</v>
      </c>
    </row>
    <row r="1475" spans="1:27" x14ac:dyDescent="0.3">
      <c r="A1475" s="2">
        <v>45730</v>
      </c>
      <c r="B1475" t="s">
        <v>45</v>
      </c>
      <c r="C1475" t="s">
        <v>132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2878</v>
      </c>
      <c r="O1475" t="s">
        <v>2879</v>
      </c>
      <c r="P1475">
        <v>47.93</v>
      </c>
      <c r="Q1475" s="2">
        <v>45730</v>
      </c>
      <c r="R1475" s="2">
        <v>45738</v>
      </c>
      <c r="S1475" t="s">
        <v>50</v>
      </c>
      <c r="T1475">
        <f t="shared" ref="T1475:T1499" si="161">SUM(J1475:P1475)</f>
        <v>1850.78</v>
      </c>
      <c r="U1475">
        <f t="shared" ref="U1475:U1501" si="162">PRODUCT(100,H1475)</f>
        <v>15</v>
      </c>
      <c r="V1475">
        <f t="shared" ref="V1475:V1495" si="163">PRODUCT(D1475:E1475)</f>
        <v>2121</v>
      </c>
      <c r="W1475">
        <f t="shared" ref="W1475:W1501" si="164" xml:space="preserve"> V1475-J1475</f>
        <v>318.15000000000009</v>
      </c>
      <c r="X1475">
        <f t="shared" ref="X1475:X1501" si="165">R1475-Q1475</f>
        <v>8</v>
      </c>
      <c r="Y1475" cm="1">
        <f t="array" ref="Y1475">_xlfn.IFS(H1475=0.1,1,H1475=0.15,1,H1475=0.05,1,H1475=0,0)</f>
        <v>1</v>
      </c>
      <c r="Z1475">
        <f t="shared" ref="Z1475:Z1501" si="166">PRODUCT(Y1475,D1475)</f>
        <v>10</v>
      </c>
      <c r="AA1475">
        <f t="shared" ref="AA1475:AA1501" si="167">YEAR(A1475)</f>
        <v>2025</v>
      </c>
    </row>
    <row r="1476" spans="1:27" x14ac:dyDescent="0.3">
      <c r="A1476" s="2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2880</v>
      </c>
      <c r="O1476" t="s">
        <v>2881</v>
      </c>
      <c r="P1476">
        <v>13</v>
      </c>
      <c r="Q1476" s="2">
        <v>45034</v>
      </c>
      <c r="R1476" s="2">
        <v>45043</v>
      </c>
      <c r="S1476" t="s">
        <v>38</v>
      </c>
      <c r="T1476">
        <f t="shared" si="161"/>
        <v>3910.2159999999999</v>
      </c>
      <c r="U1476">
        <f t="shared" si="162"/>
        <v>15</v>
      </c>
      <c r="V1476">
        <f t="shared" si="163"/>
        <v>4584.96</v>
      </c>
      <c r="W1476">
        <f t="shared" si="164"/>
        <v>687.74400000000014</v>
      </c>
      <c r="X1476">
        <f t="shared" si="165"/>
        <v>9</v>
      </c>
      <c r="Y1476" cm="1">
        <f t="array" ref="Y1476">_xlfn.IFS(H1476=0.1,1,H1476=0.15,1,H1476=0.05,1,H1476=0,0)</f>
        <v>1</v>
      </c>
      <c r="Z1476">
        <f t="shared" si="166"/>
        <v>9</v>
      </c>
      <c r="AA1476">
        <f t="shared" si="167"/>
        <v>2023</v>
      </c>
    </row>
    <row r="1477" spans="1:27" x14ac:dyDescent="0.3">
      <c r="A1477" s="2">
        <v>45546</v>
      </c>
      <c r="B1477" t="s">
        <v>71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65</v>
      </c>
      <c r="L1477" t="s">
        <v>41</v>
      </c>
      <c r="M1477">
        <v>0</v>
      </c>
      <c r="N1477" t="s">
        <v>2882</v>
      </c>
      <c r="O1477" t="s">
        <v>2883</v>
      </c>
      <c r="P1477">
        <v>22.88</v>
      </c>
      <c r="Q1477" s="2">
        <v>45546</v>
      </c>
      <c r="R1477" s="2">
        <v>45554</v>
      </c>
      <c r="S1477" t="s">
        <v>74</v>
      </c>
      <c r="T1477">
        <f t="shared" si="161"/>
        <v>1628.836</v>
      </c>
      <c r="U1477">
        <f t="shared" si="162"/>
        <v>15</v>
      </c>
      <c r="V1477">
        <f t="shared" si="163"/>
        <v>1889.36</v>
      </c>
      <c r="W1477">
        <f t="shared" si="164"/>
        <v>283.404</v>
      </c>
      <c r="X1477">
        <f t="shared" si="165"/>
        <v>8</v>
      </c>
      <c r="Y1477" cm="1">
        <f t="array" ref="Y1477">_xlfn.IFS(H1477=0.1,1,H1477=0.15,1,H1477=0.05,1,H1477=0,0)</f>
        <v>1</v>
      </c>
      <c r="Z1477">
        <f t="shared" si="166"/>
        <v>8</v>
      </c>
      <c r="AA1477">
        <f t="shared" si="167"/>
        <v>2024</v>
      </c>
    </row>
    <row r="1478" spans="1:27" x14ac:dyDescent="0.3">
      <c r="A1478" s="2">
        <v>45251</v>
      </c>
      <c r="B1478" t="s">
        <v>45</v>
      </c>
      <c r="C1478" t="s">
        <v>132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65</v>
      </c>
      <c r="L1478" t="s">
        <v>35</v>
      </c>
      <c r="M1478">
        <v>1</v>
      </c>
      <c r="N1478" t="s">
        <v>2884</v>
      </c>
      <c r="O1478" t="s">
        <v>1430</v>
      </c>
      <c r="P1478">
        <v>40.47</v>
      </c>
      <c r="Q1478" s="2">
        <v>45251</v>
      </c>
      <c r="R1478" s="2">
        <v>45258</v>
      </c>
      <c r="S1478" t="s">
        <v>50</v>
      </c>
      <c r="T1478">
        <f t="shared" si="161"/>
        <v>188.87</v>
      </c>
      <c r="U1478">
        <f t="shared" si="162"/>
        <v>0</v>
      </c>
      <c r="V1478">
        <f t="shared" si="163"/>
        <v>147.4</v>
      </c>
      <c r="W1478">
        <f t="shared" si="164"/>
        <v>0</v>
      </c>
      <c r="X1478">
        <f t="shared" si="165"/>
        <v>7</v>
      </c>
      <c r="Y1478" cm="1">
        <f t="array" ref="Y1478">_xlfn.IFS(H1478=0.1,1,H1478=0.15,1,H1478=0.05,1,H1478=0,0)</f>
        <v>0</v>
      </c>
      <c r="Z1478">
        <f t="shared" si="166"/>
        <v>0</v>
      </c>
      <c r="AA1478">
        <f t="shared" si="167"/>
        <v>2023</v>
      </c>
    </row>
    <row r="1479" spans="1:27" x14ac:dyDescent="0.3">
      <c r="A1479" s="2">
        <v>45351</v>
      </c>
      <c r="B1479" t="s">
        <v>71</v>
      </c>
      <c r="C1479" t="s">
        <v>81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2885</v>
      </c>
      <c r="O1479" t="s">
        <v>1248</v>
      </c>
      <c r="P1479">
        <v>33.1</v>
      </c>
      <c r="Q1479" s="2">
        <v>45351</v>
      </c>
      <c r="R1479" s="2">
        <v>45358</v>
      </c>
      <c r="S1479" t="s">
        <v>74</v>
      </c>
      <c r="T1479">
        <f t="shared" si="161"/>
        <v>2159.1239999999998</v>
      </c>
      <c r="U1479">
        <f t="shared" si="162"/>
        <v>5</v>
      </c>
      <c r="V1479">
        <f t="shared" si="163"/>
        <v>2237.92</v>
      </c>
      <c r="W1479">
        <f t="shared" si="164"/>
        <v>111.89600000000019</v>
      </c>
      <c r="X1479">
        <f t="shared" si="165"/>
        <v>7</v>
      </c>
      <c r="Y1479" cm="1">
        <f t="array" ref="Y1479">_xlfn.IFS(H1479=0.1,1,H1479=0.15,1,H1479=0.05,1,H1479=0,0)</f>
        <v>1</v>
      </c>
      <c r="Z1479">
        <f t="shared" si="166"/>
        <v>8</v>
      </c>
      <c r="AA1479">
        <f t="shared" si="167"/>
        <v>2024</v>
      </c>
    </row>
    <row r="1480" spans="1:27" x14ac:dyDescent="0.3">
      <c r="A1480" s="2">
        <v>45057</v>
      </c>
      <c r="B1480" t="s">
        <v>71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68</v>
      </c>
      <c r="J1480">
        <v>868.13850000000002</v>
      </c>
      <c r="K1480" t="s">
        <v>65</v>
      </c>
      <c r="L1480" t="s">
        <v>35</v>
      </c>
      <c r="M1480">
        <v>0</v>
      </c>
      <c r="N1480" t="s">
        <v>2886</v>
      </c>
      <c r="O1480" t="s">
        <v>2887</v>
      </c>
      <c r="P1480">
        <v>47.14</v>
      </c>
      <c r="Q1480" s="2">
        <v>45057</v>
      </c>
      <c r="R1480" s="2">
        <v>45061</v>
      </c>
      <c r="S1480" t="s">
        <v>74</v>
      </c>
      <c r="T1480">
        <f t="shared" si="161"/>
        <v>915.27850000000001</v>
      </c>
      <c r="U1480">
        <f t="shared" si="162"/>
        <v>5</v>
      </c>
      <c r="V1480">
        <f t="shared" si="163"/>
        <v>913.83</v>
      </c>
      <c r="W1480">
        <f t="shared" si="164"/>
        <v>45.691500000000019</v>
      </c>
      <c r="X1480">
        <f t="shared" si="165"/>
        <v>4</v>
      </c>
      <c r="Y1480" cm="1">
        <f t="array" ref="Y1480">_xlfn.IFS(H1480=0.1,1,H1480=0.15,1,H1480=0.05,1,H1480=0,0)</f>
        <v>1</v>
      </c>
      <c r="Z1480">
        <f t="shared" si="166"/>
        <v>3</v>
      </c>
      <c r="AA1480">
        <f t="shared" si="167"/>
        <v>2023</v>
      </c>
    </row>
    <row r="1481" spans="1:27" x14ac:dyDescent="0.3">
      <c r="A1481" s="2">
        <v>45546</v>
      </c>
      <c r="B1481" t="s">
        <v>29</v>
      </c>
      <c r="C1481" t="s">
        <v>81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65</v>
      </c>
      <c r="L1481" t="s">
        <v>41</v>
      </c>
      <c r="M1481">
        <v>1</v>
      </c>
      <c r="N1481" t="s">
        <v>2888</v>
      </c>
      <c r="O1481" t="s">
        <v>2748</v>
      </c>
      <c r="P1481">
        <v>8.5</v>
      </c>
      <c r="Q1481" s="2">
        <v>45546</v>
      </c>
      <c r="R1481" s="2">
        <v>45555</v>
      </c>
      <c r="S1481" t="s">
        <v>38</v>
      </c>
      <c r="T1481">
        <f t="shared" si="161"/>
        <v>2154.38</v>
      </c>
      <c r="U1481">
        <f t="shared" si="162"/>
        <v>0</v>
      </c>
      <c r="V1481">
        <f t="shared" si="163"/>
        <v>2144.88</v>
      </c>
      <c r="W1481">
        <f t="shared" si="164"/>
        <v>0</v>
      </c>
      <c r="X1481">
        <f t="shared" si="165"/>
        <v>9</v>
      </c>
      <c r="Y1481" cm="1">
        <f t="array" ref="Y1481">_xlfn.IFS(H1481=0.1,1,H1481=0.15,1,H1481=0.05,1,H1481=0,0)</f>
        <v>0</v>
      </c>
      <c r="Z1481">
        <f t="shared" si="166"/>
        <v>0</v>
      </c>
      <c r="AA1481">
        <f t="shared" si="167"/>
        <v>2024</v>
      </c>
    </row>
    <row r="1482" spans="1:27" x14ac:dyDescent="0.3">
      <c r="A1482" s="2">
        <v>45520</v>
      </c>
      <c r="B1482" t="s">
        <v>71</v>
      </c>
      <c r="C1482" t="s">
        <v>132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62</v>
      </c>
      <c r="L1482" t="s">
        <v>59</v>
      </c>
      <c r="M1482">
        <v>0</v>
      </c>
      <c r="N1482" t="s">
        <v>2889</v>
      </c>
      <c r="O1482" t="s">
        <v>2890</v>
      </c>
      <c r="P1482">
        <v>42.52</v>
      </c>
      <c r="Q1482" s="2">
        <v>45520</v>
      </c>
      <c r="R1482" s="2">
        <v>45526</v>
      </c>
      <c r="S1482" t="s">
        <v>74</v>
      </c>
      <c r="T1482">
        <f t="shared" si="161"/>
        <v>7003.0480000000007</v>
      </c>
      <c r="U1482">
        <f t="shared" si="162"/>
        <v>10</v>
      </c>
      <c r="V1482">
        <f t="shared" si="163"/>
        <v>7733.92</v>
      </c>
      <c r="W1482">
        <f t="shared" si="164"/>
        <v>773.39199999999983</v>
      </c>
      <c r="X1482">
        <f t="shared" si="165"/>
        <v>6</v>
      </c>
      <c r="Y1482" cm="1">
        <f t="array" ref="Y1482">_xlfn.IFS(H1482=0.1,1,H1482=0.15,1,H1482=0.05,1,H1482=0,0)</f>
        <v>1</v>
      </c>
      <c r="Z1482">
        <f t="shared" si="166"/>
        <v>16</v>
      </c>
      <c r="AA1482">
        <f t="shared" si="167"/>
        <v>2024</v>
      </c>
    </row>
    <row r="1483" spans="1:27" x14ac:dyDescent="0.3">
      <c r="A1483" s="2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68</v>
      </c>
      <c r="J1483">
        <v>909.32100000000003</v>
      </c>
      <c r="K1483" t="s">
        <v>34</v>
      </c>
      <c r="L1483" t="s">
        <v>59</v>
      </c>
      <c r="M1483">
        <v>0</v>
      </c>
      <c r="N1483" t="s">
        <v>2891</v>
      </c>
      <c r="O1483" t="s">
        <v>2892</v>
      </c>
      <c r="P1483">
        <v>48.6</v>
      </c>
      <c r="Q1483" s="2">
        <v>45807</v>
      </c>
      <c r="R1483" s="2">
        <v>45815</v>
      </c>
      <c r="S1483" t="s">
        <v>44</v>
      </c>
      <c r="T1483">
        <f t="shared" si="161"/>
        <v>957.92100000000005</v>
      </c>
      <c r="U1483">
        <f t="shared" si="162"/>
        <v>5</v>
      </c>
      <c r="V1483">
        <f t="shared" si="163"/>
        <v>957.18000000000006</v>
      </c>
      <c r="W1483">
        <f t="shared" si="164"/>
        <v>47.859000000000037</v>
      </c>
      <c r="X1483">
        <f t="shared" si="165"/>
        <v>8</v>
      </c>
      <c r="Y1483" cm="1">
        <f t="array" ref="Y1483">_xlfn.IFS(H1483=0.1,1,H1483=0.15,1,H1483=0.05,1,H1483=0,0)</f>
        <v>1</v>
      </c>
      <c r="Z1483">
        <f t="shared" si="166"/>
        <v>6</v>
      </c>
      <c r="AA1483">
        <f t="shared" si="167"/>
        <v>2025</v>
      </c>
    </row>
    <row r="1484" spans="1:27" x14ac:dyDescent="0.3">
      <c r="A1484" s="2">
        <v>45160</v>
      </c>
      <c r="B1484" t="s">
        <v>19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2893</v>
      </c>
      <c r="O1484" t="s">
        <v>2894</v>
      </c>
      <c r="P1484">
        <v>35.94</v>
      </c>
      <c r="Q1484" s="2">
        <v>45160</v>
      </c>
      <c r="R1484" s="2">
        <v>45166</v>
      </c>
      <c r="S1484" t="s">
        <v>28</v>
      </c>
      <c r="T1484">
        <f t="shared" si="161"/>
        <v>4834.2</v>
      </c>
      <c r="U1484">
        <f t="shared" si="162"/>
        <v>10</v>
      </c>
      <c r="V1484">
        <f t="shared" si="163"/>
        <v>5331.4000000000005</v>
      </c>
      <c r="W1484">
        <f t="shared" si="164"/>
        <v>533.14000000000033</v>
      </c>
      <c r="X1484">
        <f t="shared" si="165"/>
        <v>6</v>
      </c>
      <c r="Y1484" cm="1">
        <f t="array" ref="Y1484">_xlfn.IFS(H1484=0.1,1,H1484=0.15,1,H1484=0.05,1,H1484=0,0)</f>
        <v>1</v>
      </c>
      <c r="Z1484">
        <f t="shared" si="166"/>
        <v>19</v>
      </c>
      <c r="AA1484">
        <f t="shared" si="167"/>
        <v>2023</v>
      </c>
    </row>
    <row r="1485" spans="1:27" x14ac:dyDescent="0.3">
      <c r="A1485" s="2">
        <v>45314</v>
      </c>
      <c r="B1485" t="s">
        <v>19</v>
      </c>
      <c r="C1485" t="s">
        <v>81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62</v>
      </c>
      <c r="L1485" t="s">
        <v>35</v>
      </c>
      <c r="M1485">
        <v>1</v>
      </c>
      <c r="N1485" t="s">
        <v>2895</v>
      </c>
      <c r="O1485" t="s">
        <v>2896</v>
      </c>
      <c r="P1485">
        <v>24.55</v>
      </c>
      <c r="Q1485" s="2">
        <v>45314</v>
      </c>
      <c r="R1485" s="2">
        <v>45316</v>
      </c>
      <c r="S1485" t="s">
        <v>28</v>
      </c>
      <c r="T1485">
        <f t="shared" si="161"/>
        <v>766.51199999999994</v>
      </c>
      <c r="U1485">
        <f t="shared" si="162"/>
        <v>5</v>
      </c>
      <c r="V1485">
        <f t="shared" si="163"/>
        <v>779.96</v>
      </c>
      <c r="W1485">
        <f t="shared" si="164"/>
        <v>38.998000000000047</v>
      </c>
      <c r="X1485">
        <f t="shared" si="165"/>
        <v>2</v>
      </c>
      <c r="Y1485" cm="1">
        <f t="array" ref="Y1485">_xlfn.IFS(H1485=0.1,1,H1485=0.15,1,H1485=0.05,1,H1485=0,0)</f>
        <v>1</v>
      </c>
      <c r="Z1485">
        <f t="shared" si="166"/>
        <v>2</v>
      </c>
      <c r="AA1485">
        <f t="shared" si="167"/>
        <v>2024</v>
      </c>
    </row>
    <row r="1486" spans="1:27" x14ac:dyDescent="0.3">
      <c r="A1486" s="2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65</v>
      </c>
      <c r="L1486" t="s">
        <v>41</v>
      </c>
      <c r="M1486">
        <v>0</v>
      </c>
      <c r="N1486" t="s">
        <v>2897</v>
      </c>
      <c r="O1486" t="s">
        <v>2898</v>
      </c>
      <c r="P1486">
        <v>37.94</v>
      </c>
      <c r="Q1486" s="2">
        <v>45001</v>
      </c>
      <c r="R1486" s="2">
        <v>45008</v>
      </c>
      <c r="S1486" t="s">
        <v>44</v>
      </c>
      <c r="T1486">
        <f t="shared" si="161"/>
        <v>7050.5249999999996</v>
      </c>
      <c r="U1486">
        <f t="shared" si="162"/>
        <v>15</v>
      </c>
      <c r="V1486">
        <f t="shared" si="163"/>
        <v>8250.1</v>
      </c>
      <c r="W1486">
        <f t="shared" si="164"/>
        <v>1237.5150000000003</v>
      </c>
      <c r="X1486">
        <f t="shared" si="165"/>
        <v>7</v>
      </c>
      <c r="Y1486" cm="1">
        <f t="array" ref="Y1486">_xlfn.IFS(H1486=0.1,1,H1486=0.15,1,H1486=0.05,1,H1486=0,0)</f>
        <v>1</v>
      </c>
      <c r="Z1486">
        <f t="shared" si="166"/>
        <v>17</v>
      </c>
      <c r="AA1486">
        <f t="shared" si="167"/>
        <v>2023</v>
      </c>
    </row>
    <row r="1487" spans="1:27" x14ac:dyDescent="0.3">
      <c r="A1487" s="2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2899</v>
      </c>
      <c r="O1487" t="s">
        <v>2900</v>
      </c>
      <c r="P1487">
        <v>6.78</v>
      </c>
      <c r="Q1487" s="2">
        <v>45793</v>
      </c>
      <c r="R1487" s="2">
        <v>45798</v>
      </c>
      <c r="S1487" t="s">
        <v>38</v>
      </c>
      <c r="T1487">
        <f t="shared" si="161"/>
        <v>1896.74</v>
      </c>
      <c r="U1487">
        <f t="shared" si="162"/>
        <v>0</v>
      </c>
      <c r="V1487">
        <f t="shared" si="163"/>
        <v>1888.96</v>
      </c>
      <c r="W1487">
        <f t="shared" si="164"/>
        <v>0</v>
      </c>
      <c r="X1487">
        <f t="shared" si="165"/>
        <v>5</v>
      </c>
      <c r="Y1487" cm="1">
        <f t="array" ref="Y1487">_xlfn.IFS(H1487=0.1,1,H1487=0.15,1,H1487=0.05,1,H1487=0,0)</f>
        <v>0</v>
      </c>
      <c r="Z1487">
        <f t="shared" si="166"/>
        <v>0</v>
      </c>
      <c r="AA1487">
        <f t="shared" si="167"/>
        <v>2025</v>
      </c>
    </row>
    <row r="1488" spans="1:27" x14ac:dyDescent="0.3">
      <c r="A1488" s="2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65</v>
      </c>
      <c r="L1488" t="s">
        <v>41</v>
      </c>
      <c r="M1488">
        <v>0</v>
      </c>
      <c r="N1488" t="s">
        <v>2901</v>
      </c>
      <c r="O1488" t="s">
        <v>2902</v>
      </c>
      <c r="P1488">
        <v>9.1</v>
      </c>
      <c r="Q1488" s="2">
        <v>45069</v>
      </c>
      <c r="R1488" s="2">
        <v>45075</v>
      </c>
      <c r="S1488" t="s">
        <v>28</v>
      </c>
      <c r="T1488">
        <f t="shared" si="161"/>
        <v>1157.3399999999999</v>
      </c>
      <c r="U1488">
        <f t="shared" si="162"/>
        <v>0</v>
      </c>
      <c r="V1488">
        <f t="shared" si="163"/>
        <v>1148.24</v>
      </c>
      <c r="W1488">
        <f t="shared" si="164"/>
        <v>0</v>
      </c>
      <c r="X1488">
        <f t="shared" si="165"/>
        <v>6</v>
      </c>
      <c r="Y1488" cm="1">
        <f t="array" ref="Y1488">_xlfn.IFS(H1488=0.1,1,H1488=0.15,1,H1488=0.05,1,H1488=0,0)</f>
        <v>0</v>
      </c>
      <c r="Z1488">
        <f t="shared" si="166"/>
        <v>0</v>
      </c>
      <c r="AA1488">
        <f t="shared" si="167"/>
        <v>2023</v>
      </c>
    </row>
    <row r="1489" spans="1:27" x14ac:dyDescent="0.3">
      <c r="A1489" s="2">
        <v>45459</v>
      </c>
      <c r="B1489" t="s">
        <v>39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799.59999999999991</v>
      </c>
      <c r="K1489" t="s">
        <v>65</v>
      </c>
      <c r="L1489" t="s">
        <v>35</v>
      </c>
      <c r="M1489">
        <v>0</v>
      </c>
      <c r="N1489" t="s">
        <v>2903</v>
      </c>
      <c r="O1489" t="s">
        <v>2904</v>
      </c>
      <c r="P1489">
        <v>10.86</v>
      </c>
      <c r="Q1489" s="2">
        <v>45459</v>
      </c>
      <c r="R1489" s="2">
        <v>45466</v>
      </c>
      <c r="S1489" t="s">
        <v>44</v>
      </c>
      <c r="T1489">
        <f t="shared" si="161"/>
        <v>810.45999999999992</v>
      </c>
      <c r="U1489">
        <f t="shared" si="162"/>
        <v>0</v>
      </c>
      <c r="V1489">
        <f t="shared" si="163"/>
        <v>799.59999999999991</v>
      </c>
      <c r="W1489">
        <f t="shared" si="164"/>
        <v>0</v>
      </c>
      <c r="X1489">
        <f t="shared" si="165"/>
        <v>7</v>
      </c>
      <c r="Y1489" cm="1">
        <f t="array" ref="Y1489">_xlfn.IFS(H1489=0.1,1,H1489=0.15,1,H1489=0.05,1,H1489=0,0)</f>
        <v>0</v>
      </c>
      <c r="Z1489">
        <f t="shared" si="166"/>
        <v>0</v>
      </c>
      <c r="AA1489">
        <f t="shared" si="167"/>
        <v>2024</v>
      </c>
    </row>
    <row r="1490" spans="1:27" x14ac:dyDescent="0.3">
      <c r="A1490" s="2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5524.6489999999994</v>
      </c>
      <c r="K1490" t="s">
        <v>65</v>
      </c>
      <c r="L1490" t="s">
        <v>35</v>
      </c>
      <c r="M1490">
        <v>0</v>
      </c>
      <c r="N1490" t="s">
        <v>2905</v>
      </c>
      <c r="O1490" t="s">
        <v>2906</v>
      </c>
      <c r="P1490">
        <v>38.93</v>
      </c>
      <c r="Q1490" s="2">
        <v>45685</v>
      </c>
      <c r="R1490" s="2">
        <v>45692</v>
      </c>
      <c r="S1490" t="s">
        <v>50</v>
      </c>
      <c r="T1490">
        <f t="shared" si="161"/>
        <v>5563.5789999999997</v>
      </c>
      <c r="U1490">
        <f t="shared" si="162"/>
        <v>5</v>
      </c>
      <c r="V1490">
        <f t="shared" si="163"/>
        <v>5815.42</v>
      </c>
      <c r="W1490">
        <f t="shared" si="164"/>
        <v>290.77100000000064</v>
      </c>
      <c r="X1490">
        <f t="shared" si="165"/>
        <v>7</v>
      </c>
      <c r="Y1490" cm="1">
        <f t="array" ref="Y1490">_xlfn.IFS(H1490=0.1,1,H1490=0.15,1,H1490=0.05,1,H1490=0,0)</f>
        <v>1</v>
      </c>
      <c r="Z1490">
        <f t="shared" si="166"/>
        <v>13</v>
      </c>
      <c r="AA1490">
        <f t="shared" si="167"/>
        <v>2025</v>
      </c>
    </row>
    <row r="1491" spans="1:27" x14ac:dyDescent="0.3">
      <c r="A1491" s="2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65</v>
      </c>
      <c r="L1491" t="s">
        <v>59</v>
      </c>
      <c r="M1491">
        <v>0</v>
      </c>
      <c r="N1491" t="s">
        <v>2907</v>
      </c>
      <c r="O1491" t="s">
        <v>2908</v>
      </c>
      <c r="P1491">
        <v>10.119999999999999</v>
      </c>
      <c r="Q1491" s="2">
        <v>45623</v>
      </c>
      <c r="R1491" s="2">
        <v>45633</v>
      </c>
      <c r="S1491" t="s">
        <v>38</v>
      </c>
      <c r="T1491">
        <f t="shared" si="161"/>
        <v>2312.6799999999998</v>
      </c>
      <c r="U1491">
        <f t="shared" si="162"/>
        <v>10</v>
      </c>
      <c r="V1491">
        <f t="shared" si="163"/>
        <v>2558.4</v>
      </c>
      <c r="W1491">
        <f t="shared" si="164"/>
        <v>255.84000000000015</v>
      </c>
      <c r="X1491">
        <f t="shared" si="165"/>
        <v>10</v>
      </c>
      <c r="Y1491" cm="1">
        <f t="array" ref="Y1491">_xlfn.IFS(H1491=0.1,1,H1491=0.15,1,H1491=0.05,1,H1491=0,0)</f>
        <v>1</v>
      </c>
      <c r="Z1491">
        <f t="shared" si="166"/>
        <v>13</v>
      </c>
      <c r="AA1491">
        <f t="shared" si="167"/>
        <v>2024</v>
      </c>
    </row>
    <row r="1492" spans="1:27" x14ac:dyDescent="0.3">
      <c r="A1492" s="2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62</v>
      </c>
      <c r="L1492" t="s">
        <v>35</v>
      </c>
      <c r="M1492">
        <v>0</v>
      </c>
      <c r="N1492" t="s">
        <v>2909</v>
      </c>
      <c r="O1492" t="s">
        <v>2910</v>
      </c>
      <c r="P1492">
        <v>19.46</v>
      </c>
      <c r="Q1492" s="2">
        <v>45208</v>
      </c>
      <c r="R1492" s="2">
        <v>45210</v>
      </c>
      <c r="S1492" t="s">
        <v>50</v>
      </c>
      <c r="T1492">
        <f t="shared" si="161"/>
        <v>1331.1469999999999</v>
      </c>
      <c r="U1492">
        <f t="shared" si="162"/>
        <v>10</v>
      </c>
      <c r="V1492">
        <f t="shared" si="163"/>
        <v>1457.43</v>
      </c>
      <c r="W1492">
        <f t="shared" si="164"/>
        <v>145.74300000000017</v>
      </c>
      <c r="X1492">
        <f t="shared" si="165"/>
        <v>2</v>
      </c>
      <c r="Y1492" cm="1">
        <f t="array" ref="Y1492">_xlfn.IFS(H1492=0.1,1,H1492=0.15,1,H1492=0.05,1,H1492=0,0)</f>
        <v>1</v>
      </c>
      <c r="Z1492">
        <f t="shared" si="166"/>
        <v>3</v>
      </c>
      <c r="AA1492">
        <f t="shared" si="167"/>
        <v>2023</v>
      </c>
    </row>
    <row r="1493" spans="1:27" x14ac:dyDescent="0.3">
      <c r="A1493" s="2">
        <v>45494</v>
      </c>
      <c r="B1493" t="s">
        <v>71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68</v>
      </c>
      <c r="J1493">
        <v>2791.0239999999999</v>
      </c>
      <c r="K1493" t="s">
        <v>34</v>
      </c>
      <c r="L1493" t="s">
        <v>41</v>
      </c>
      <c r="M1493">
        <v>0</v>
      </c>
      <c r="N1493" t="s">
        <v>2911</v>
      </c>
      <c r="O1493" t="s">
        <v>2912</v>
      </c>
      <c r="P1493">
        <v>6.56</v>
      </c>
      <c r="Q1493" s="2">
        <v>45494</v>
      </c>
      <c r="R1493" s="2">
        <v>45504</v>
      </c>
      <c r="S1493" t="s">
        <v>74</v>
      </c>
      <c r="T1493">
        <f t="shared" si="161"/>
        <v>2797.5839999999998</v>
      </c>
      <c r="U1493">
        <f t="shared" si="162"/>
        <v>5</v>
      </c>
      <c r="V1493">
        <f t="shared" si="163"/>
        <v>2937.92</v>
      </c>
      <c r="W1493">
        <f t="shared" si="164"/>
        <v>146.89600000000019</v>
      </c>
      <c r="X1493">
        <f t="shared" si="165"/>
        <v>10</v>
      </c>
      <c r="Y1493" cm="1">
        <f t="array" ref="Y1493">_xlfn.IFS(H1493=0.1,1,H1493=0.15,1,H1493=0.05,1,H1493=0,0)</f>
        <v>1</v>
      </c>
      <c r="Z1493">
        <f t="shared" si="166"/>
        <v>16</v>
      </c>
      <c r="AA1493">
        <f t="shared" si="167"/>
        <v>2024</v>
      </c>
    </row>
    <row r="1494" spans="1:27" x14ac:dyDescent="0.3">
      <c r="A1494" s="2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2913</v>
      </c>
      <c r="O1494" t="s">
        <v>2914</v>
      </c>
      <c r="P1494">
        <v>26.9</v>
      </c>
      <c r="Q1494" s="2">
        <v>45476</v>
      </c>
      <c r="R1494" s="2">
        <v>45480</v>
      </c>
      <c r="S1494" t="s">
        <v>28</v>
      </c>
      <c r="T1494">
        <f t="shared" si="161"/>
        <v>735.73299999999995</v>
      </c>
      <c r="U1494">
        <f t="shared" si="162"/>
        <v>5</v>
      </c>
      <c r="V1494">
        <f t="shared" si="163"/>
        <v>746.14</v>
      </c>
      <c r="W1494">
        <f t="shared" si="164"/>
        <v>37.307000000000016</v>
      </c>
      <c r="X1494">
        <f t="shared" si="165"/>
        <v>4</v>
      </c>
      <c r="Y1494" cm="1">
        <f t="array" ref="Y1494">_xlfn.IFS(H1494=0.1,1,H1494=0.15,1,H1494=0.05,1,H1494=0,0)</f>
        <v>1</v>
      </c>
      <c r="Z1494">
        <f t="shared" si="166"/>
        <v>2</v>
      </c>
      <c r="AA1494">
        <f t="shared" si="167"/>
        <v>2024</v>
      </c>
    </row>
    <row r="1495" spans="1:27" x14ac:dyDescent="0.3">
      <c r="A1495" s="2">
        <v>45559</v>
      </c>
      <c r="B1495" t="s">
        <v>71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2915</v>
      </c>
      <c r="O1495" t="s">
        <v>2916</v>
      </c>
      <c r="P1495">
        <v>29.19</v>
      </c>
      <c r="Q1495" s="2">
        <v>45559</v>
      </c>
      <c r="R1495" s="2">
        <v>45567</v>
      </c>
      <c r="S1495" t="s">
        <v>74</v>
      </c>
      <c r="T1495">
        <f t="shared" si="161"/>
        <v>8999.75</v>
      </c>
      <c r="U1495">
        <f t="shared" si="162"/>
        <v>0</v>
      </c>
      <c r="V1495">
        <f t="shared" si="163"/>
        <v>8970.56</v>
      </c>
      <c r="W1495">
        <f t="shared" si="164"/>
        <v>0</v>
      </c>
      <c r="X1495">
        <f t="shared" si="165"/>
        <v>8</v>
      </c>
      <c r="Y1495" cm="1">
        <f t="array" ref="Y1495">_xlfn.IFS(H1495=0.1,1,H1495=0.15,1,H1495=0.05,1,H1495=0,0)</f>
        <v>0</v>
      </c>
      <c r="Z1495">
        <f t="shared" si="166"/>
        <v>0</v>
      </c>
      <c r="AA1495">
        <f t="shared" si="167"/>
        <v>2024</v>
      </c>
    </row>
    <row r="1496" spans="1:27" x14ac:dyDescent="0.3">
      <c r="A1496" s="2">
        <v>45671</v>
      </c>
      <c r="B1496" t="s">
        <v>19</v>
      </c>
      <c r="C1496" t="s">
        <v>81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2917</v>
      </c>
      <c r="O1496" t="s">
        <v>2918</v>
      </c>
      <c r="P1496">
        <v>49.13</v>
      </c>
      <c r="Q1496" s="2">
        <v>45671</v>
      </c>
      <c r="R1496" s="2">
        <v>45678</v>
      </c>
      <c r="S1496" t="s">
        <v>28</v>
      </c>
      <c r="T1496">
        <f t="shared" si="161"/>
        <v>1055.5800000000002</v>
      </c>
      <c r="U1496">
        <f t="shared" si="162"/>
        <v>0</v>
      </c>
      <c r="V1496">
        <f>PRODUCT(D1496:E1496)</f>
        <v>1006.4499999999999</v>
      </c>
      <c r="W1496">
        <f t="shared" si="164"/>
        <v>0</v>
      </c>
      <c r="X1496">
        <f t="shared" si="165"/>
        <v>7</v>
      </c>
      <c r="Y1496" cm="1">
        <f t="array" ref="Y1496">_xlfn.IFS(H1496=0.1,1,H1496=0.15,1,H1496=0.05,1,H1496=0,0)</f>
        <v>0</v>
      </c>
      <c r="Z1496">
        <f t="shared" si="166"/>
        <v>0</v>
      </c>
      <c r="AA1496">
        <f t="shared" si="167"/>
        <v>2025</v>
      </c>
    </row>
    <row r="1497" spans="1:27" x14ac:dyDescent="0.3">
      <c r="A1497" s="2">
        <v>45705</v>
      </c>
      <c r="B1497" t="s">
        <v>71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2919</v>
      </c>
      <c r="O1497" t="s">
        <v>2920</v>
      </c>
      <c r="P1497">
        <v>35.630000000000003</v>
      </c>
      <c r="Q1497" s="2">
        <v>45705</v>
      </c>
      <c r="R1497" s="2">
        <v>45710</v>
      </c>
      <c r="S1497" t="s">
        <v>74</v>
      </c>
      <c r="T1497">
        <f t="shared" si="161"/>
        <v>1697.4460000000001</v>
      </c>
      <c r="U1497">
        <f t="shared" si="162"/>
        <v>5</v>
      </c>
      <c r="V1497">
        <f t="shared" ref="V1497:V1501" si="168">PRODUCT(D1497:E1497)</f>
        <v>1749.28</v>
      </c>
      <c r="W1497">
        <f t="shared" si="164"/>
        <v>87.463999999999942</v>
      </c>
      <c r="X1497">
        <f t="shared" si="165"/>
        <v>5</v>
      </c>
      <c r="Y1497" cm="1">
        <f t="array" ref="Y1497">_xlfn.IFS(H1497=0.1,1,H1497=0.15,1,H1497=0.05,1,H1497=0,0)</f>
        <v>1</v>
      </c>
      <c r="Z1497">
        <f t="shared" si="166"/>
        <v>13</v>
      </c>
      <c r="AA1497">
        <f t="shared" si="167"/>
        <v>2025</v>
      </c>
    </row>
    <row r="1498" spans="1:27" x14ac:dyDescent="0.3">
      <c r="A1498" s="2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62</v>
      </c>
      <c r="L1498" t="s">
        <v>25</v>
      </c>
      <c r="M1498">
        <v>0</v>
      </c>
      <c r="N1498" t="s">
        <v>2921</v>
      </c>
      <c r="O1498" t="s">
        <v>2922</v>
      </c>
      <c r="P1498">
        <v>45.93</v>
      </c>
      <c r="Q1498" s="2">
        <v>45302</v>
      </c>
      <c r="R1498" s="2">
        <v>45308</v>
      </c>
      <c r="S1498" t="s">
        <v>38</v>
      </c>
      <c r="T1498">
        <f t="shared" si="161"/>
        <v>3255.105</v>
      </c>
      <c r="U1498">
        <f t="shared" si="162"/>
        <v>15</v>
      </c>
      <c r="V1498">
        <f t="shared" si="168"/>
        <v>3775.5</v>
      </c>
      <c r="W1498">
        <f t="shared" si="164"/>
        <v>566.32499999999982</v>
      </c>
      <c r="X1498">
        <f t="shared" si="165"/>
        <v>6</v>
      </c>
      <c r="Y1498" cm="1">
        <f t="array" ref="Y1498">_xlfn.IFS(H1498=0.1,1,H1498=0.15,1,H1498=0.05,1,H1498=0,0)</f>
        <v>1</v>
      </c>
      <c r="Z1498">
        <f t="shared" si="166"/>
        <v>18</v>
      </c>
      <c r="AA1498">
        <f t="shared" si="167"/>
        <v>2024</v>
      </c>
    </row>
    <row r="1499" spans="1:27" x14ac:dyDescent="0.3">
      <c r="A1499" s="2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2923</v>
      </c>
      <c r="O1499" t="s">
        <v>2924</v>
      </c>
      <c r="P1499">
        <v>35.56</v>
      </c>
      <c r="Q1499" s="2">
        <v>45500</v>
      </c>
      <c r="R1499" s="2">
        <v>45507</v>
      </c>
      <c r="S1499" t="s">
        <v>28</v>
      </c>
      <c r="T1499">
        <f t="shared" si="161"/>
        <v>308.06</v>
      </c>
      <c r="U1499">
        <f t="shared" si="162"/>
        <v>0</v>
      </c>
      <c r="V1499">
        <f t="shared" si="168"/>
        <v>272.5</v>
      </c>
      <c r="W1499">
        <f t="shared" si="164"/>
        <v>0</v>
      </c>
      <c r="X1499">
        <f t="shared" si="165"/>
        <v>7</v>
      </c>
      <c r="Y1499" cm="1">
        <f t="array" ref="Y1499">_xlfn.IFS(H1499=0.1,1,H1499=0.15,1,H1499=0.05,1,H1499=0,0)</f>
        <v>0</v>
      </c>
      <c r="Z1499">
        <f t="shared" si="166"/>
        <v>0</v>
      </c>
      <c r="AA1499">
        <f t="shared" si="167"/>
        <v>2024</v>
      </c>
    </row>
    <row r="1500" spans="1:27" x14ac:dyDescent="0.3">
      <c r="A1500" s="2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2925</v>
      </c>
      <c r="O1500" t="s">
        <v>2926</v>
      </c>
      <c r="P1500">
        <v>24.53</v>
      </c>
      <c r="Q1500" s="2">
        <v>45629</v>
      </c>
      <c r="R1500" s="2">
        <v>45636</v>
      </c>
      <c r="S1500" t="s">
        <v>50</v>
      </c>
      <c r="T1500">
        <f>SUM(J1500:P1500)</f>
        <v>3518.0410000000002</v>
      </c>
      <c r="U1500">
        <f t="shared" si="162"/>
        <v>5</v>
      </c>
      <c r="V1500">
        <f t="shared" si="168"/>
        <v>3677.38</v>
      </c>
      <c r="W1500">
        <f t="shared" si="164"/>
        <v>183.86900000000014</v>
      </c>
      <c r="X1500">
        <f t="shared" si="165"/>
        <v>7</v>
      </c>
      <c r="Y1500" cm="1">
        <f t="array" ref="Y1500">_xlfn.IFS(H1500=0.1,1,H1500=0.15,1,H1500=0.05,1,H1500=0,0)</f>
        <v>1</v>
      </c>
      <c r="Z1500">
        <f t="shared" si="166"/>
        <v>14</v>
      </c>
      <c r="AA1500">
        <f t="shared" si="167"/>
        <v>2024</v>
      </c>
    </row>
    <row r="1501" spans="1:27" x14ac:dyDescent="0.3">
      <c r="A1501" s="2">
        <v>45786</v>
      </c>
      <c r="B1501" t="s">
        <v>71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62</v>
      </c>
      <c r="L1501" t="s">
        <v>25</v>
      </c>
      <c r="M1501">
        <v>1</v>
      </c>
      <c r="N1501" t="s">
        <v>2927</v>
      </c>
      <c r="O1501" t="s">
        <v>1398</v>
      </c>
      <c r="P1501">
        <v>21.05</v>
      </c>
      <c r="Q1501" s="2">
        <v>45786</v>
      </c>
      <c r="R1501" s="2">
        <v>45790</v>
      </c>
      <c r="S1501" t="s">
        <v>74</v>
      </c>
      <c r="T1501">
        <f t="shared" ref="T1501" si="169">SUM(J1501:P1501)</f>
        <v>2900.1200000000003</v>
      </c>
      <c r="U1501">
        <f t="shared" si="162"/>
        <v>0</v>
      </c>
      <c r="V1501">
        <f t="shared" si="168"/>
        <v>2878.0699999999997</v>
      </c>
      <c r="W1501">
        <f t="shared" si="164"/>
        <v>0</v>
      </c>
      <c r="X1501">
        <f t="shared" si="165"/>
        <v>4</v>
      </c>
      <c r="Y1501" cm="1">
        <f t="array" ref="Y1501">_xlfn.IFS(H1501=0.1,1,H1501=0.15,1,H1501=0.05,1,H1501=0,0)</f>
        <v>0</v>
      </c>
      <c r="Z1501">
        <f t="shared" si="166"/>
        <v>0</v>
      </c>
      <c r="AA1501">
        <f t="shared" si="167"/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Gaurang Kale</cp:lastModifiedBy>
  <dcterms:created xsi:type="dcterms:W3CDTF">2026-07-13T10:07:10Z</dcterms:created>
  <dcterms:modified xsi:type="dcterms:W3CDTF">2026-07-14T13:27:56Z</dcterms:modified>
</cp:coreProperties>
</file>